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https://doimspp-my.sharepoint.com/personal/gabriella_moreno_fws_gov/Documents/Desktop/"/>
    </mc:Choice>
  </mc:AlternateContent>
  <xr:revisionPtr revIDLastSave="2197" documentId="8_{01662077-77F9-4CF3-B803-7B99A7D95FAB}" xr6:coauthVersionLast="47" xr6:coauthVersionMax="47" xr10:uidLastSave="{CBF55E54-530B-4A0C-A5E4-9F74C33EA1BD}"/>
  <bookViews>
    <workbookView xWindow="-120" yWindow="-120" windowWidth="29040" windowHeight="15720" firstSheet="7" activeTab="24" xr2:uid="{D1888522-1E10-41F0-A9D0-80999F0172A5}"/>
  </bookViews>
  <sheets>
    <sheet name="2001" sheetId="1" r:id="rId1"/>
    <sheet name="2002" sheetId="2" r:id="rId2"/>
    <sheet name="2003" sheetId="3" r:id="rId3"/>
    <sheet name="2004" sheetId="4" r:id="rId4"/>
    <sheet name="2005" sheetId="5" r:id="rId5"/>
    <sheet name="2006" sheetId="6" r:id="rId6"/>
    <sheet name="2007" sheetId="7" r:id="rId7"/>
    <sheet name="2008" sheetId="8" r:id="rId8"/>
    <sheet name="2009" sheetId="9" r:id="rId9"/>
    <sheet name="2010" sheetId="10" r:id="rId10"/>
    <sheet name="2011" sheetId="11" r:id="rId11"/>
    <sheet name="2012" sheetId="12" r:id="rId12"/>
    <sheet name="2013" sheetId="13" r:id="rId13"/>
    <sheet name="2014" sheetId="14" r:id="rId14"/>
    <sheet name="2015" sheetId="15" r:id="rId15"/>
    <sheet name="2016" sheetId="16" r:id="rId16"/>
    <sheet name="2017" sheetId="17" r:id="rId17"/>
    <sheet name="2018" sheetId="18" r:id="rId18"/>
    <sheet name="2019" sheetId="19" r:id="rId19"/>
    <sheet name="2020" sheetId="20" r:id="rId20"/>
    <sheet name="2021" sheetId="21" r:id="rId21"/>
    <sheet name="2022" sheetId="22" r:id="rId22"/>
    <sheet name="2023" sheetId="23" r:id="rId23"/>
    <sheet name="2024" sheetId="24" r:id="rId24"/>
    <sheet name="Metadata" sheetId="25" r:id="rId2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6" i="24" l="1"/>
  <c r="I25" i="24"/>
  <c r="I24" i="24"/>
  <c r="I23" i="24"/>
  <c r="I22" i="24"/>
  <c r="I21" i="24"/>
  <c r="I20" i="24"/>
  <c r="I19" i="24"/>
  <c r="I18" i="24"/>
  <c r="I17" i="24"/>
  <c r="I16" i="24"/>
  <c r="I15" i="24"/>
  <c r="I14" i="24"/>
  <c r="I13" i="24"/>
  <c r="I12" i="24"/>
  <c r="I11" i="24"/>
  <c r="I10" i="24"/>
  <c r="I9" i="24"/>
  <c r="I8" i="24"/>
  <c r="I7" i="24"/>
  <c r="I6" i="24"/>
  <c r="I5" i="24"/>
  <c r="I4" i="24"/>
  <c r="K18" i="22"/>
  <c r="I18" i="22"/>
  <c r="K17" i="22"/>
  <c r="I17" i="22"/>
  <c r="K16" i="22"/>
  <c r="I16" i="22"/>
  <c r="I15" i="22"/>
  <c r="K14" i="22"/>
  <c r="I14" i="22"/>
  <c r="K13" i="22"/>
  <c r="I13" i="22"/>
  <c r="K12" i="22"/>
  <c r="I12" i="22"/>
  <c r="K11" i="22"/>
  <c r="I11" i="22"/>
  <c r="K10" i="22"/>
  <c r="I10" i="22"/>
  <c r="K9" i="22"/>
  <c r="I9" i="22"/>
  <c r="K8" i="22"/>
  <c r="I8" i="22"/>
  <c r="K7" i="22"/>
  <c r="I7" i="22"/>
  <c r="K6" i="22"/>
  <c r="I6" i="22"/>
  <c r="K5" i="22"/>
  <c r="I5" i="22"/>
  <c r="K4" i="22"/>
  <c r="I4" i="22"/>
  <c r="K15" i="21"/>
  <c r="K19" i="21"/>
  <c r="I19" i="21"/>
  <c r="K18" i="21"/>
  <c r="I18" i="21"/>
  <c r="K17" i="21"/>
  <c r="I17" i="21"/>
  <c r="K16" i="21"/>
  <c r="I16" i="21"/>
  <c r="I15" i="21"/>
  <c r="K14" i="21"/>
  <c r="I14" i="21"/>
  <c r="K13" i="21"/>
  <c r="I13" i="21"/>
  <c r="K12" i="21"/>
  <c r="I12" i="21"/>
  <c r="K11" i="21"/>
  <c r="I11" i="21"/>
  <c r="K10" i="21"/>
  <c r="I10" i="21"/>
  <c r="K9" i="21"/>
  <c r="I9" i="21"/>
  <c r="K8" i="21"/>
  <c r="I8" i="21"/>
  <c r="K7" i="21"/>
  <c r="I7" i="21"/>
  <c r="K6" i="21"/>
  <c r="I6" i="21"/>
  <c r="K5" i="21"/>
  <c r="I5" i="21"/>
  <c r="K4" i="21"/>
  <c r="I4" i="21"/>
</calcChain>
</file>

<file path=xl/sharedStrings.xml><?xml version="1.0" encoding="utf-8"?>
<sst xmlns="http://schemas.openxmlformats.org/spreadsheetml/2006/main" count="3215" uniqueCount="1164">
  <si>
    <t>2001 Battle Creek Snorkel Survey</t>
  </si>
  <si>
    <t xml:space="preserve">Reach 1,2 = North Fork </t>
  </si>
  <si>
    <t>Reach 3 = South Fork</t>
  </si>
  <si>
    <t>Reach 4-7 = Main Stem</t>
  </si>
  <si>
    <t>Number</t>
  </si>
  <si>
    <t>Date</t>
  </si>
  <si>
    <t>Crew</t>
  </si>
  <si>
    <t>Reach</t>
  </si>
  <si>
    <t>Flow</t>
  </si>
  <si>
    <t>Survey Method</t>
  </si>
  <si>
    <t>walking</t>
  </si>
  <si>
    <t>snorkel</t>
  </si>
  <si>
    <t>JMN, SLG, CSG</t>
  </si>
  <si>
    <t>WRP, SLG, RR</t>
  </si>
  <si>
    <t>39</t>
  </si>
  <si>
    <t>KP, SLG</t>
  </si>
  <si>
    <t>7</t>
  </si>
  <si>
    <t>JMN, SLG</t>
  </si>
  <si>
    <t>38</t>
  </si>
  <si>
    <t>JMN, MRB, MD</t>
  </si>
  <si>
    <t>45</t>
  </si>
  <si>
    <t>CAE, CSG, SLG</t>
  </si>
  <si>
    <t>CSG, SLG, MD</t>
  </si>
  <si>
    <t>204-217</t>
  </si>
  <si>
    <t>CSG, SLG, KP</t>
  </si>
  <si>
    <t>188-223</t>
  </si>
  <si>
    <t>43</t>
  </si>
  <si>
    <t>CSG, SLG</t>
  </si>
  <si>
    <t>44</t>
  </si>
  <si>
    <t>JMN, KP</t>
  </si>
  <si>
    <t>CSG, SLG, CAE</t>
  </si>
  <si>
    <t>51</t>
  </si>
  <si>
    <t>CSG, JMN, CAE</t>
  </si>
  <si>
    <t>49</t>
  </si>
  <si>
    <t>JMN, CSG, SLG</t>
  </si>
  <si>
    <t>197-229</t>
  </si>
  <si>
    <t>KP, CSG</t>
  </si>
  <si>
    <t>JMN, MRB, SLG</t>
  </si>
  <si>
    <t>CSG, JMN</t>
  </si>
  <si>
    <t>JMN, SLG, MD</t>
  </si>
  <si>
    <t>JMN, KP, CSG</t>
  </si>
  <si>
    <t>204-242</t>
  </si>
  <si>
    <t>SLG, KP</t>
  </si>
  <si>
    <t>Comments1</t>
  </si>
  <si>
    <t>Comments2</t>
  </si>
  <si>
    <t>Juv CHN:  (2) approx 80 mm size...LF.  At least 2 of RBT wer 18-22" FL.</t>
  </si>
  <si>
    <t>Visibility was poor , especially towards end of survey.</t>
  </si>
  <si>
    <t>Adult CHN: (3) wp 61; (6) wp 64;  (3) wp 65;  (5) wp 66.  Juv CHN:  (1) located just upstream of wp 61</t>
  </si>
  <si>
    <t>Juv CHN:  first observed just above wildcat bridge, majority observed around bridge.</t>
  </si>
  <si>
    <t>Adult CHN: (7) wp 33..from previous survey...baldwin creek dam site; (3) wp 67.  Juv CHN:  65-180 mm</t>
  </si>
  <si>
    <t>Juv CHN:  70-110 mm FL</t>
  </si>
  <si>
    <t>Flow seemed lower than previous survey, flow out of coleman powerhouse was less, still cold and turbid, no flow from wastegate on RL.</t>
  </si>
  <si>
    <t>Juv CHN:  (1) past jelly's ferry bridge.  Temps from ubc and lbc trap temp loggers</t>
  </si>
  <si>
    <t xml:space="preserve">visibility poor, difficult to observe fish in deep pools. </t>
  </si>
  <si>
    <t>Juv CHN:  90-120 mm FL.  photos:  potential barrier</t>
  </si>
  <si>
    <t>Juv CHN 90-130 mm FL</t>
  </si>
  <si>
    <t xml:space="preserve">Adult CHN:  used previous surveys wps..1 less fish at wp 61 </t>
  </si>
  <si>
    <t>New Redd located 75 yds below coleman dam  (wp BC_R3Redd...put on map as wp 66.</t>
  </si>
  <si>
    <t>Adult CHN:  (6) in baldwin creek pool..good count from above, difficult to see when snorkeling through because of depth and turbidity wp 33 from previous survey.</t>
  </si>
  <si>
    <t>Juv CHN:  80-130 mm FL</t>
  </si>
  <si>
    <t>Adult CHN:  (2) wp 101;  (1) wp 555, created in office.  Juv CHN (17) 80-130 mm FL</t>
  </si>
  <si>
    <t xml:space="preserve">Adult CHN:  (2) wp 61; (5) wp 64; (1) wp 65; (5) wp 66.  New Redds:  (2) wp 65; (1) wp 66...all gps wp from previous surveys.  </t>
  </si>
  <si>
    <t>Adult CHN:  (1) wp 10, just below potential barrier...wp 9</t>
  </si>
  <si>
    <t>New Redds: (1) at each wp 11-14.  Measurements taken on 3 of redds.  Juv CHN (1) below powerlines.</t>
  </si>
  <si>
    <t>Adult CHN: (3) wp 142, all on redds..2 F, 1 M (3) wp 66(gps wp from previous survey); (1) wp 66.. at dam face on redd..(really upstream of wp 66).  New Redds:  (1) wp 141measurements taken; (3) wp 142; (2) at top of stage pool wp 66; (1) in constriction at top of stage pool, below old redd..took measurements wp 66; (1) dam pool above wp 66.</t>
  </si>
  <si>
    <t>Adult CHN: (1) wp 16</t>
  </si>
  <si>
    <t>New Redds:  (1) at each wp  17-19, 21-24,  test redd at wp 15</t>
  </si>
  <si>
    <t>New Redds:  (1) wp 26, (2) wp 29.  Test Redds:  (1) wp 25,  (1) wp 27 bottom of baldwin cr pool.  Carcass:  F, skin, wp 28 Bio ID#01-1707.</t>
  </si>
  <si>
    <t xml:space="preserve">Adult CHN:  (1) wp 30; (2) wp 31; (1) wp 33.  </t>
  </si>
  <si>
    <t>New Redds:  (2) wp 32;  (1) wp 34</t>
  </si>
  <si>
    <t>Adult CHN:  (1) wp 35; (2) wp 36..one was on redd.  Carcass:  (1) wp 39, adclip, F, tag recovered 06-01-06-06-09-03.  Juv CHN: (20) in school in large deep bedrock pool</t>
  </si>
  <si>
    <t xml:space="preserve">New Redds:  (2) wp 37, measurements on one, loose eggs observed in measured redd; (1) wp 38? (just downstream of previous two redds.  </t>
  </si>
  <si>
    <t xml:space="preserve"> Carcass:  (2) F wp 143, Bio ID#01-1719, 01-1722 and (1) F wp 144 , Bio ID# 01-1728.</t>
  </si>
  <si>
    <t>2002 Battle Creek Snorkel Survey</t>
  </si>
  <si>
    <t>Gage(s)</t>
  </si>
  <si>
    <t>BAS</t>
  </si>
  <si>
    <t>Snorkel</t>
  </si>
  <si>
    <t>BNF</t>
  </si>
  <si>
    <t>BAS/BNF</t>
  </si>
  <si>
    <t>BAT</t>
  </si>
  <si>
    <t>Walking</t>
  </si>
  <si>
    <t>all three</t>
  </si>
  <si>
    <t>JTE, JF, NOA</t>
  </si>
  <si>
    <t>37</t>
  </si>
  <si>
    <t>JF, KP, DAG</t>
  </si>
  <si>
    <t>JTE, GM</t>
  </si>
  <si>
    <t>JF, DAG, JTE</t>
  </si>
  <si>
    <t>47</t>
  </si>
  <si>
    <t>BAS?/BNF</t>
  </si>
  <si>
    <t>JTE, DAG, PWW</t>
  </si>
  <si>
    <t>210</t>
  </si>
  <si>
    <t>NOA, GG, JF</t>
  </si>
  <si>
    <t>CSG, JF, KP</t>
  </si>
  <si>
    <t>33</t>
  </si>
  <si>
    <t>JTE, JF, CSG</t>
  </si>
  <si>
    <t>JS, NOA</t>
  </si>
  <si>
    <t>JF, DG, NOA</t>
  </si>
  <si>
    <t>JTE, CSG, GG</t>
  </si>
  <si>
    <t>JTE, GG, DAG</t>
  </si>
  <si>
    <t>213</t>
  </si>
  <si>
    <t>NOA, JF, JS</t>
  </si>
  <si>
    <t>JTE, DAG, JF</t>
  </si>
  <si>
    <t>RJ, NOA</t>
  </si>
  <si>
    <t>19</t>
  </si>
  <si>
    <t>CSG, DAG, CDR</t>
  </si>
  <si>
    <t>JTE, NOA, PWW</t>
  </si>
  <si>
    <t>JTE, RJ, JS</t>
  </si>
  <si>
    <t>215</t>
  </si>
  <si>
    <t>NOA, PWW, DAG, JF</t>
  </si>
  <si>
    <t>214</t>
  </si>
  <si>
    <t>NOA, CDR, JTE</t>
  </si>
  <si>
    <t>CSG, DAG, JRF</t>
  </si>
  <si>
    <t>NOA, GMG, MA</t>
  </si>
  <si>
    <t>17</t>
  </si>
  <si>
    <t>NOA, JRF, GMG</t>
  </si>
  <si>
    <t>54</t>
  </si>
  <si>
    <t>JS, PWW, JTE</t>
  </si>
  <si>
    <t>55</t>
  </si>
  <si>
    <t>JTE, RJ, GM</t>
  </si>
  <si>
    <t>220</t>
  </si>
  <si>
    <t>DG, GM</t>
  </si>
  <si>
    <t>12</t>
  </si>
  <si>
    <t>GG, JS, JTE</t>
  </si>
  <si>
    <t>14</t>
  </si>
  <si>
    <t>JS, CDR, NOA</t>
  </si>
  <si>
    <t>52</t>
  </si>
  <si>
    <t>KP, PW, JTE</t>
  </si>
  <si>
    <t>NOA, REJ, JJS</t>
  </si>
  <si>
    <t>216</t>
  </si>
  <si>
    <t>CSG, JS, PW</t>
  </si>
  <si>
    <t xml:space="preserve">38 </t>
  </si>
  <si>
    <t>JTE, NOA, GMG</t>
  </si>
  <si>
    <t>37.5</t>
  </si>
  <si>
    <t>JTE, NOA, JS</t>
  </si>
  <si>
    <t>DG, MA</t>
  </si>
  <si>
    <t>30</t>
  </si>
  <si>
    <t>NOA, JS, RJ</t>
  </si>
  <si>
    <t>60</t>
  </si>
  <si>
    <t>GM, SG, PW</t>
  </si>
  <si>
    <t>JS, DG, GM</t>
  </si>
  <si>
    <t>225</t>
  </si>
  <si>
    <t>JS, DG</t>
  </si>
  <si>
    <t>25</t>
  </si>
  <si>
    <t>JS,JE,DG</t>
  </si>
  <si>
    <t>41</t>
  </si>
  <si>
    <t>JS,DG,CDR</t>
  </si>
  <si>
    <t>RJ,MA</t>
  </si>
  <si>
    <t>JE,GM,PW</t>
  </si>
  <si>
    <t>92</t>
  </si>
  <si>
    <t>DG,JS,NA</t>
  </si>
  <si>
    <t>JS,GM,DG</t>
  </si>
  <si>
    <t>265</t>
  </si>
  <si>
    <t>1 RBT C arcass, brought back</t>
  </si>
  <si>
    <t>GPS#1: 1 skin  WP 70, WP 71, egg casing found</t>
  </si>
  <si>
    <t>GPS#1: 30 CHN WP 68</t>
  </si>
  <si>
    <t>GPS#2: 4 CHN WP 133</t>
  </si>
  <si>
    <t xml:space="preserve">GPS#1: 1 CHN at weir, 1 CHN WP 72, 1 CHN above log riffle, RM </t>
  </si>
  <si>
    <t>GPS#1: 1 CHN WP 73, 1 Caracass WP 74</t>
  </si>
  <si>
    <t>GPS#2: 1 CHN Carcass WP 134; 40 CHN at pool below dam; 1 possible redd just upstream of Manton Bridge</t>
  </si>
  <si>
    <t xml:space="preserve">GPS#2: 1 CHN WP 135; 25 CHN WP 136; 1 CHN WP 169   </t>
  </si>
  <si>
    <t>GPS#1: 1 CHN WP 75; 1 WP 76; 1 WP 77; 2 WP 78; 1 WP 79</t>
  </si>
  <si>
    <t>GPS#2: 8 at Weir, 26 WP 170; 16 WP 174; 18 WP 175; 13 WP 176; 1 WP 177; 16 WP 178; 4 WP 179; 8 WP 180; 15 WP 181; 43 WP 182</t>
  </si>
  <si>
    <t>juv- 160mm at end of reach, photos taken of potential barrier</t>
  </si>
  <si>
    <t>GPS#2: 1 CHN WP 184, 1 CHN Redd WP 185, installed logger at redd site</t>
  </si>
  <si>
    <t>25 CHN at salmon pool, 1 full carcass and 2 jaws, all found at same pool, observed otter eating salmon</t>
  </si>
  <si>
    <t>GPS#2: 34 live Adult CHN WP 185 (baldwin pool), 1 CHN WP 186</t>
  </si>
  <si>
    <t>GPS#1: 1 Carcass WP 80</t>
  </si>
  <si>
    <t>GPS#2: 1 CHN WP 187, 1 WP 188, 1 WP 189, 4 WP 190, 2 WP 191, 2 WP 192</t>
  </si>
  <si>
    <t>Test Redd at WP 81  CHN 7500 throughout reach (estimate) attempted underwater photos</t>
  </si>
  <si>
    <t>Photos # 21, 20, 19</t>
  </si>
  <si>
    <t>GPS#2: 1 Redd WP 193, 1Redd WP 194, 1 Redd WP 195, 3 CHN &amp; 1 Redd WP 196, 1 Redd WP 197, 4 CHN &amp; 1 Redd WP 198</t>
  </si>
  <si>
    <t>16 CHN at salmon pool, 3 CHN at dam, 2 Carcasses at salmon pool, 2 redds between dam and pool</t>
  </si>
  <si>
    <t>GPS#1: Carcass WP 82, 17 live adults WP 84 at Baldwin Pool, test redd at baldwin pool</t>
  </si>
  <si>
    <t>GPS#2: 1 CHN WP 199, 1 Redd WP 200</t>
  </si>
  <si>
    <t>GPS#2: 1 Redd WP 201, 1 CHN WP 202, 1 CHN WP 203, 1 Redd WP 204, 5 CHN WP 205, 2 CHN WP 206, 1 CHN WP 207</t>
  </si>
  <si>
    <t xml:space="preserve">GPS#1: Redd #1, 2 @ WP 85; Redd #3 @WP 86; Redd #4,5,6 @ WP 87; Redd # 7,8,9,10 @ WP 88; 7 Chn at pool below dam </t>
  </si>
  <si>
    <t>GPS #2: 2 Redds @ WP 209; 1 Carcass @ WP 210; 2 Redds @ WP 211(actually WP 230); 4 Redds and 1 CHN  @ WP 212 ; 1 Carcass and 4 Redds 50 yards downstream @ WP 213</t>
  </si>
  <si>
    <t>GPS #1; 1 Carcass below coleman dam; 1 head found below coleman dam; 2 CHN @WP 89; 3 Redds below Coleman Dam</t>
  </si>
  <si>
    <t>GPS #1; 1 Redd and 1 Test Redd @WP 92; 2 Redds and 1 Redd 100yds downstream @WP 93; 1 Redd @WP 94; 1 Redd @ WP 95; 1 Redd @ WP 96; 1 Redd @ WP 97; 1 Redd @ WP 98</t>
  </si>
  <si>
    <t xml:space="preserve">GPS #2; 4 Redds @ WP 214; 1 Redd @ WP 215; 1 CHN 3 REDDS @ WP 216; 2 REDDS @ WP 217; 1 CARCASS @ WP 220; 2 CARCASSES @ WP 221; 1 CHN AND 2 REDDS @ WP 222 </t>
  </si>
  <si>
    <t>GPS #1; 1 REDD @ WP 99; 1 CHN @ WP 100; 2 CHN 150 YARDS UP FROM WEIR</t>
  </si>
  <si>
    <t>GPS #2; CARCASS @ WP 223,224,225</t>
  </si>
  <si>
    <t>GPS #2; 1 REDD @ WP 226; 2 REDDS DOWNSTREAM; 4 REDDS @ WP 227; 1 CARCASS @ WP 228</t>
  </si>
  <si>
    <t>GPS #2; 1 CARCASS @ WP 229; 1 CARCASS @ WP 231; 1 REDD @ WP 232</t>
  </si>
  <si>
    <t>GPS #1; 1 REDD @ WP 109; 1 CARCASS @ WP 110; WATER TURNED TO MUD HALFWAY THROUGH</t>
  </si>
  <si>
    <t>GPS #1; 1 CARCASS @WP 111; 1 CARCASS AND 1 REDD 50YDS DOWN@ WP 112; 1 REDD @ WP 113; 2 REDDS AND 1 15YDS DOWNSTREAM@ WP 114</t>
  </si>
  <si>
    <t>GPS #2; 1 OLD REDD @ WP 233; 1 CARCASS @ WP 234; 1 CARCASS @ WP 235</t>
  </si>
  <si>
    <t xml:space="preserve">GPS #1; 1 CHN @ WP 116; 1 CHN @ WP 119; 2 CHN AND 2 CHN 100YDS DOWNSTREAM@ WP 121; 2 CHN 150YDS UP FROM COLEMAN WEIR; 1 CHN REDD @ WP 123 </t>
  </si>
  <si>
    <t>GPS#2; 1 CHN CARCASS @ WP 236; 2 CHN ADULTS @ WP237</t>
  </si>
  <si>
    <t>GPS#1, 28 large rbt/stt seen at barrier weir</t>
  </si>
  <si>
    <t>2003 Battle Creek Snorkel Survey</t>
  </si>
  <si>
    <t>40</t>
  </si>
  <si>
    <t>BAS&amp;BNF</t>
  </si>
  <si>
    <t>NOA,DJC,JSS</t>
  </si>
  <si>
    <t>JJS, TGL, JTE</t>
  </si>
  <si>
    <t>NOA, PM, DJC</t>
  </si>
  <si>
    <t>34</t>
  </si>
  <si>
    <t>JTE, DJC, TGL</t>
  </si>
  <si>
    <t>75</t>
  </si>
  <si>
    <t>JJS, JRG, CSG</t>
  </si>
  <si>
    <t>DJC, EJ, MRB</t>
  </si>
  <si>
    <t>CSG,TH,LW,AR</t>
  </si>
  <si>
    <t>247</t>
  </si>
  <si>
    <t>JE,JF,NOA</t>
  </si>
  <si>
    <t>42</t>
  </si>
  <si>
    <t>JS,JE,CSG</t>
  </si>
  <si>
    <t>PM,DC,JF</t>
  </si>
  <si>
    <t>31</t>
  </si>
  <si>
    <t>SG,JF,PM</t>
  </si>
  <si>
    <t>73</t>
  </si>
  <si>
    <t>DJC,EJ,JS</t>
  </si>
  <si>
    <t>JS,TH,DJC</t>
  </si>
  <si>
    <t>PW,LW,AR,JF</t>
  </si>
  <si>
    <t>TGL,JRF,JJS</t>
  </si>
  <si>
    <t>JTE,JJS,DJC</t>
  </si>
  <si>
    <t>JRF,PM,AR</t>
  </si>
  <si>
    <t>36</t>
  </si>
  <si>
    <t>TGL,TH,JJS</t>
  </si>
  <si>
    <t>76</t>
  </si>
  <si>
    <t>DJC,JRF,EJ</t>
  </si>
  <si>
    <t>PW,TGL,TH</t>
  </si>
  <si>
    <t>234</t>
  </si>
  <si>
    <t>JRF,PM,AR,LW</t>
  </si>
  <si>
    <t>236</t>
  </si>
  <si>
    <t>JF, JS, TL</t>
  </si>
  <si>
    <t>JS,TL,SG</t>
  </si>
  <si>
    <t>LW, DC, JF</t>
  </si>
  <si>
    <t>35</t>
  </si>
  <si>
    <t>TH, JS, PM</t>
  </si>
  <si>
    <t>JF, EJ, DC</t>
  </si>
  <si>
    <t>PW, EJ, AR</t>
  </si>
  <si>
    <t>EJ, JRF, TGL</t>
  </si>
  <si>
    <t>JJS, LW, TH</t>
  </si>
  <si>
    <t>JJS, EJ, TH</t>
  </si>
  <si>
    <t>74</t>
  </si>
  <si>
    <t>DJC, TGL, PM</t>
  </si>
  <si>
    <t>JJS, PW, AR</t>
  </si>
  <si>
    <t>CSG, JF, JE</t>
  </si>
  <si>
    <t>JS, JN, JF</t>
  </si>
  <si>
    <t>NA, SG, LW</t>
  </si>
  <si>
    <t>JE, JF, CSG</t>
  </si>
  <si>
    <t>JS, LW, AR</t>
  </si>
  <si>
    <t>JS, JF, AR</t>
  </si>
  <si>
    <t>JS, DC, TL</t>
  </si>
  <si>
    <t>LW, JF, EJ</t>
  </si>
  <si>
    <t>DJC, PM, LW</t>
  </si>
  <si>
    <t>JS, TH, AR</t>
  </si>
  <si>
    <t>EJ, JF, LW</t>
  </si>
  <si>
    <t>TH, PW, AR</t>
  </si>
  <si>
    <t>1 CHN carcass WP 49, 1 CHN wp50, 2 CHN wp 51, 1 CHN wp 52, 1 CHN 50' below, 1 CHN wp 53, 1 CHN wp 54, lower barrier wp 55</t>
  </si>
  <si>
    <t>16 CHN 1st holding pool, 1 CHN wp 56, 9 CHN wp 57, 1 CHN wp 58, 1 CHN wp 59 &amp;60, 1 CHN wp 61, 1 CHN wp 62, 1 CHN wp 63, above coleman dam: above tailrace temp 69, time 1046, 1 CHN at inskip tailrace, temp 57, 2 CHN below tailrace before pool</t>
  </si>
  <si>
    <t>2 CHN wp 64, 1 CHN wp 65, 4 CHN wp 66, 4 CHN wp 67, 23 CHN wp 68, 1 CHN wp 69, 2 CHN wp 70, 1 CHN wp 71, 1 CHN wp 72, 1 CHN wp 73, 10 CHN wp 74, 1 CHN wp 75, 1 CHN wp 76</t>
  </si>
  <si>
    <t>1 CHN wp 77, 1 CHN PGE pwerhouse above finger weir</t>
  </si>
  <si>
    <t>1 CHN wp 62, 1 CHN wp 63</t>
  </si>
  <si>
    <t>1 CHN carcass WP 78, 1 CHN carcass WP 79 ,1 CHN carcass WP 80, 3 CHN WP 80</t>
  </si>
  <si>
    <t>1 CHN carcass WP 86</t>
  </si>
  <si>
    <t>18 CHN in 1st pool no wp ,1CHN WP 81, 5 CHN WP 82,</t>
  </si>
  <si>
    <t>1 CHN WP 85, 3 CHN WP 86, 2 CHN WP 87, 2 CHN WP 88, 35 CHN WP 89, 1 CHN WP 90, 1 CHN WP 91, 1 CHN WP 92, 1 test redd WP 92, 13 CHN WP 93, 1CHN WP94, 1 CHN WP 95, 1 carcass WP 96</t>
  </si>
  <si>
    <t>1 CHN Carcass WP 87 UNSAMPLED</t>
  </si>
  <si>
    <t>1 CHN Carcass WP 88</t>
  </si>
  <si>
    <t>17 CHN WP 97, 1 CHN WP 98, 1 CHN WP 99</t>
  </si>
  <si>
    <t xml:space="preserve">1 CHN redd WP 69, 1 CHN WP 69, 1 CHN redd WP70, 1 CHN test redd WP 71, 1 CHN redd WP 72, 1 CHN redd WP 73 ( 1 CHN on redd not measured), </t>
  </si>
  <si>
    <t>1 CHN redd wp 101, 1 CHN &amp; 1 redd wp 102, 1 CHN wp 103, 1 CHN &amp; 1 redd wp 104, 1 CHN carcass wp 105, 2 CHN redds wp 106</t>
  </si>
  <si>
    <t>1 CHN above Coleman Dam 150 ft above WP 76, 1 CHN in first holding pool WP 77, 1 test redd WP 78, 1 CHN redd WP 79, 1 CHN redd WP 80 (fish on redd not measured), delete WP 81-83, 1 redd WP 84, 11 CHN WP 85, 4 redds WP 85, 1 redd 200 ft above WP 86, 1 test redd WP 86, delete WP 87, 1 test redd WP 88, 1 test redd WP 89</t>
  </si>
  <si>
    <t>1 test redd WP 107, 1 redd WP 108, 1 CHN WP 108, 1 redd WP 109, 2 CHN WP 110, 1 CHN WP 111, 1 redd WP 112, 22 CHN Baldwin Pool, 1 redd WP 112, delete WP 113, 1 redd WP 114, 1 redd WP 115, 1 test redd WP 115, 1 CHN carcass WP 116, 1 CHN WP 117, 7 CHN WP 118, 1 CHN WP 119</t>
  </si>
  <si>
    <t>1 CHN WP90</t>
  </si>
  <si>
    <t>1 CHN WP 120, snorkeled Coleman tailrace and saw 2 small rbt and o chn</t>
  </si>
  <si>
    <t>951 CHN WP 91, 305 CHN WP 92, 1 CHN carcass WP 92, 795 CHN WP 93, 405 CHN WP 94, 40 CHN WP 95</t>
  </si>
  <si>
    <t xml:space="preserve">1 CHN redd WP 96, 1 CHN WP 96, </t>
  </si>
  <si>
    <t>2 CHN redds WP107 (Coleman Dam), 1 CHN redd WP 102, 1 CHN redd WP 103, 1 CHN redd WP 104 (counted last time), 1 CHN redd WP 105 (fish on redd), 2 CHN redds WP 106 (fish on both redds)</t>
  </si>
  <si>
    <t>1 CHN redd WP 110 (fish on redd), 1 CHN redd WP 111</t>
  </si>
  <si>
    <t>1 CHN redd WP 112 (fish on redd)</t>
  </si>
  <si>
    <t>WP 113 (1 carcass, 1 redd measured), WP114 (2 live CHN, 2 carcasses, 1 redd not measured), WP115 (1 live CHN, 1 redd not measured), WP116 (1 carcass, 1 redd not measured), WP117 (1 live CHN)</t>
  </si>
  <si>
    <t>WP118 (2 CHN redds, 1 CHN carcass), WP5000 (100' downstream of WP118 - 1 RBT/STT carcass , Powerline Pool - 5 CHN, 1 CHN redd, 3 CHN carcasses), WP 119 (1 CHN carcass), WP 120 (2 CHN, 1 CHN redd)</t>
  </si>
  <si>
    <t>WP186 (1 CHN on 1 CHN redd), WP187 (3 CHN redds), WP188 (1 CHN carcass (head only), 1 CHN redd), WP189 (2 CHN on 1 CHN redd)</t>
  </si>
  <si>
    <t>WP190 (1 CHN redd, 1 CHN), WP191 (1 CHN redd, 1 CHN), WP192 (1 CHN redd), WP193 (1 CHN redd, 1 CHN), WP194 (1 CHN redd, 1 CHN), WP195 (disregard), WP196 (1 CHN), WP197 (2 CHN redds)</t>
  </si>
  <si>
    <t>WP199 (1st barrier, 1 RBT/STT carcass), WP200 (2nd barrier), WP201 (2 CHN carcasses)</t>
  </si>
  <si>
    <t>WP202 (1 CHN carcass), WP203 (2 CHN redds), WP205 (3 CHN redds, 1 CHN carcass), WP206 (1 CHN redd), WP208 (1 CHN carcass)</t>
  </si>
  <si>
    <t>WP209 (1 CHN redd, 1 CHN carcass), WP211 (1 CHN redd)</t>
  </si>
  <si>
    <t>WP166 (1 CHN carcass (head only), WP167 (1 CHN carcass)</t>
  </si>
  <si>
    <t>WP222 (1 CHN carcass)</t>
  </si>
  <si>
    <t>WP168 (1 CHN)</t>
  </si>
  <si>
    <t>TL,LW,JF</t>
  </si>
  <si>
    <t>BNF/BAS/BAT</t>
  </si>
  <si>
    <t>JF,EJ,LW</t>
  </si>
  <si>
    <t>BT,JS,SG</t>
  </si>
  <si>
    <t>LW,EJ,JC</t>
  </si>
  <si>
    <t>JS,BT,PM</t>
  </si>
  <si>
    <t>MM,PW,LW</t>
  </si>
  <si>
    <t>LW,MK,MM</t>
  </si>
  <si>
    <t>119/216</t>
  </si>
  <si>
    <t>EJ,JS,BT,LS</t>
  </si>
  <si>
    <t>LW,BT,JF</t>
  </si>
  <si>
    <t>DC,JC,LS</t>
  </si>
  <si>
    <t>SCG,EJ,MJ</t>
  </si>
  <si>
    <t>BNF/BAS</t>
  </si>
  <si>
    <t>MM,JS,TL</t>
  </si>
  <si>
    <t>BT,MM,DC</t>
  </si>
  <si>
    <t>228/70</t>
  </si>
  <si>
    <t>LS,PM,LW,EJ</t>
  </si>
  <si>
    <t>LW,TL,BT</t>
  </si>
  <si>
    <t>MM,JF,JS</t>
  </si>
  <si>
    <t>LW,TL,JC</t>
  </si>
  <si>
    <t>JS,MJ,LS</t>
  </si>
  <si>
    <t>TL,BT,JF</t>
  </si>
  <si>
    <t>PW,JS,LS</t>
  </si>
  <si>
    <t>70/251</t>
  </si>
  <si>
    <t>BAS/BNF/BAT</t>
  </si>
  <si>
    <t>PM,EJ,MJ,FC</t>
  </si>
  <si>
    <t>MM,BT,TL</t>
  </si>
  <si>
    <t>JS,JE,MJ</t>
  </si>
  <si>
    <t>JC,PW,DJC</t>
  </si>
  <si>
    <t>TL,JS,LS</t>
  </si>
  <si>
    <t>LW,JF,BT</t>
  </si>
  <si>
    <t>JS,FC,LS</t>
  </si>
  <si>
    <t>71.6/240</t>
  </si>
  <si>
    <t>TL,MM,JF</t>
  </si>
  <si>
    <t>JS,BT,MJ</t>
  </si>
  <si>
    <t>TL,BT,EJ</t>
  </si>
  <si>
    <t>LW,MJ,JF</t>
  </si>
  <si>
    <t>LW,MM,BT</t>
  </si>
  <si>
    <t>JTE,CSG,NOA</t>
  </si>
  <si>
    <t>JS,PW,JF</t>
  </si>
  <si>
    <t>LW,BT,JSS</t>
  </si>
  <si>
    <t>EJ,JC,DJC</t>
  </si>
  <si>
    <t>EJ,JC,JF</t>
  </si>
  <si>
    <t>BAS,BNF</t>
  </si>
  <si>
    <t>MM,LS,DJC</t>
  </si>
  <si>
    <t>70/291</t>
  </si>
  <si>
    <t>PW,LW,LS</t>
  </si>
  <si>
    <t>71/295</t>
  </si>
  <si>
    <t>Comments</t>
  </si>
  <si>
    <t>Three juvenile salmon above any of the redds counted last year.</t>
  </si>
  <si>
    <t>Chn juveniles around 120-140 mm</t>
  </si>
  <si>
    <t>Unknown redd - no measurements taken (around 16"x16")</t>
  </si>
  <si>
    <t>Thermometer broken so no temps were taken.</t>
  </si>
  <si>
    <t>Redd at Mouth of Orrick Ditch</t>
  </si>
  <si>
    <t>No head taken.  Caudal fin only recovered.</t>
  </si>
  <si>
    <t>Water very turbid throughout most of reach.</t>
  </si>
  <si>
    <t>Poor visibility accounts for low trout #'s could probably still see salmon redds if there were any.</t>
  </si>
  <si>
    <t>High flows and high turbidity,made for poor visibility.</t>
  </si>
  <si>
    <t>Poor visibility trout numbers are down due to inability to see as well as during summer.</t>
  </si>
  <si>
    <t>1 test redd just below the bubbling bush.</t>
  </si>
  <si>
    <t>Measured Redd from previous survey (10/13/04). WP63 CHN Redd(New but Old Redd, not well designed). Just downstream of redd from 9/29#2 and the flagging have fallen off?. Trout numbers unreliable due to turbidity.</t>
  </si>
  <si>
    <t>WP79 +/- 125 One Chinook carcass. A sculpin at beginning of reach.</t>
  </si>
  <si>
    <t>Sacramento Sucker WP65+/-62, Sacramento Pikeminnow WP64+/-43</t>
  </si>
  <si>
    <t>Test Redds observed above Baldwin Pool.Sacrament Sucker at Baldwin Pool.</t>
  </si>
  <si>
    <t>WP81+/-233 RIP Unknown species Redd. WP80+/- 128 CYP Fry and SASQ, 100 yards +/-233 SASU, TP, HH below WP81,WP82+/-256 SMB.</t>
  </si>
  <si>
    <t>WP66+/-33 CHN live, WP67+/-66 CHN carcass on bank by Orick Rip/Rap may have been on the new weir, 100 yards above Coleman CHN live. SASQ,SASU,HH juveniles and adults, SMB, Riffle Sculpin and Sculpin species adults seen at the beginning of reach.</t>
  </si>
  <si>
    <t xml:space="preserve">NUMBER </t>
  </si>
  <si>
    <t>DATE</t>
  </si>
  <si>
    <t>REACH</t>
  </si>
  <si>
    <t>CREW</t>
  </si>
  <si>
    <t>FLOW</t>
  </si>
  <si>
    <t>GAGE(s)</t>
  </si>
  <si>
    <t>TURB BEG</t>
  </si>
  <si>
    <t>TURB END</t>
  </si>
  <si>
    <t>TIME BEG</t>
  </si>
  <si>
    <t>TIME END</t>
  </si>
  <si>
    <t>R7</t>
  </si>
  <si>
    <t>R4</t>
  </si>
  <si>
    <t>R5</t>
  </si>
  <si>
    <t>NA</t>
  </si>
  <si>
    <t>R6</t>
  </si>
  <si>
    <t>BAT/BAS/BNF</t>
  </si>
  <si>
    <t>R3</t>
  </si>
  <si>
    <t>R1</t>
  </si>
  <si>
    <t>R2</t>
  </si>
  <si>
    <t>MM,LW,JC</t>
  </si>
  <si>
    <t>TL,AH,LS</t>
  </si>
  <si>
    <t>MM,JC,LW</t>
  </si>
  <si>
    <t>LW,DJC,SCG</t>
  </si>
  <si>
    <t>MM,TL,JC</t>
  </si>
  <si>
    <t>SG,AH,FC</t>
  </si>
  <si>
    <t>LW,PW,KY</t>
  </si>
  <si>
    <t>LS,AH,TL</t>
  </si>
  <si>
    <t>MM,DJC,JC</t>
  </si>
  <si>
    <t>LW,TL,LS</t>
  </si>
  <si>
    <t>CSG,FC,DJC</t>
  </si>
  <si>
    <t>66/263</t>
  </si>
  <si>
    <t>10:52</t>
  </si>
  <si>
    <t>TL,MM,MC,LS</t>
  </si>
  <si>
    <t>09:27</t>
  </si>
  <si>
    <t>MM,JC,LS</t>
  </si>
  <si>
    <t>10:04</t>
  </si>
  <si>
    <t>AH,RF,TL,DJC,CSG,LS</t>
  </si>
  <si>
    <t>09:55</t>
  </si>
  <si>
    <t>MM,LW,JF</t>
  </si>
  <si>
    <t>10:00</t>
  </si>
  <si>
    <t>AH,JC,TL</t>
  </si>
  <si>
    <t>MM,LW,RF</t>
  </si>
  <si>
    <t>10:45</t>
  </si>
  <si>
    <t>MM,MC,JT</t>
  </si>
  <si>
    <t>249/36.5</t>
  </si>
  <si>
    <t>10:02</t>
  </si>
  <si>
    <t>TL,AH,DW,AW</t>
  </si>
  <si>
    <t>09:44</t>
  </si>
  <si>
    <t>LW, RF, TL</t>
  </si>
  <si>
    <t>11:45</t>
  </si>
  <si>
    <t>LW, TL, DJC</t>
  </si>
  <si>
    <t>MM,JF,MC</t>
  </si>
  <si>
    <t>LS,RF,TL</t>
  </si>
  <si>
    <t>MM,LW,JT</t>
  </si>
  <si>
    <t>AW,AH,LS</t>
  </si>
  <si>
    <t>73/273</t>
  </si>
  <si>
    <t>AH, RF, LS</t>
  </si>
  <si>
    <t>LW, DJC, MC</t>
  </si>
  <si>
    <t>MM, DW, JF</t>
  </si>
  <si>
    <t>TL, DJC, RF</t>
  </si>
  <si>
    <t>MC, TL, LS</t>
  </si>
  <si>
    <t>LW, DW, AW</t>
  </si>
  <si>
    <t>RF, TL, LS</t>
  </si>
  <si>
    <t>N/A</t>
  </si>
  <si>
    <t>LS, AH, TL</t>
  </si>
  <si>
    <t>DJC, MC, AW</t>
  </si>
  <si>
    <t>DJC, RF, MC</t>
  </si>
  <si>
    <t>DW, MM, TL</t>
  </si>
  <si>
    <t>LW, KY, JF</t>
  </si>
  <si>
    <t>76/250</t>
  </si>
  <si>
    <t>CHN carcass was a juvenile.</t>
  </si>
  <si>
    <t>05-50007</t>
  </si>
  <si>
    <t>05-50040</t>
  </si>
  <si>
    <t>05-50015, 05-50016, 05-50017</t>
  </si>
  <si>
    <t>05-50022</t>
  </si>
  <si>
    <t>05-50018</t>
  </si>
  <si>
    <t>Thermometer broken</t>
  </si>
  <si>
    <t>Lost pack wirh vials, datasheet missing</t>
  </si>
  <si>
    <t>05-50019, 05-50020</t>
  </si>
  <si>
    <t>MM, RF, MC</t>
  </si>
  <si>
    <t>JE, RF, LS</t>
  </si>
  <si>
    <t>DJC, MM, MC</t>
  </si>
  <si>
    <t>DJC, MC, RF</t>
  </si>
  <si>
    <t>MM, SLG, LS</t>
  </si>
  <si>
    <t>82/314</t>
  </si>
  <si>
    <t>MM, MC, NOA, KW</t>
  </si>
  <si>
    <t>MM, MC, JE</t>
  </si>
  <si>
    <t>RF, LS, DJC</t>
  </si>
  <si>
    <t>SG, JF, MC</t>
  </si>
  <si>
    <t>MM, MC, DJC</t>
  </si>
  <si>
    <t>JN, JF, LS</t>
  </si>
  <si>
    <t>MM, JF, LS</t>
  </si>
  <si>
    <t>85/310</t>
  </si>
  <si>
    <t>DJC, MM, JN</t>
  </si>
  <si>
    <t>R2A</t>
  </si>
  <si>
    <t>DJC, SLG, LAS</t>
  </si>
  <si>
    <t>R2B</t>
  </si>
  <si>
    <t>MC, SLG, LAS</t>
  </si>
  <si>
    <t>JF, MC, JN</t>
  </si>
  <si>
    <t>JF, MM, DJC</t>
  </si>
  <si>
    <t>MB, JF, MC</t>
  </si>
  <si>
    <t>83.5 / 327</t>
  </si>
  <si>
    <t>JF, JE, DJC</t>
  </si>
  <si>
    <t>LS, JE, DJC</t>
  </si>
  <si>
    <t>JF, MB, SG</t>
  </si>
  <si>
    <t>DJC, MM, LS</t>
  </si>
  <si>
    <t>JF, JE, SG</t>
  </si>
  <si>
    <t>91/481</t>
  </si>
  <si>
    <t>06-50017</t>
  </si>
  <si>
    <t>06-50018</t>
  </si>
  <si>
    <t>Couldn't see to the bottom of all the pools</t>
  </si>
  <si>
    <t>06-50011, 06-50012</t>
  </si>
  <si>
    <t>06-50013</t>
  </si>
  <si>
    <t>06-50014</t>
  </si>
  <si>
    <t>06-50015, 16</t>
  </si>
  <si>
    <t>06-50026-31</t>
  </si>
  <si>
    <t>06-50032, 33, 06-50040-42</t>
  </si>
  <si>
    <t>06-50019-23</t>
  </si>
  <si>
    <t>06-50024</t>
  </si>
  <si>
    <t>06-50025, 06-50034-35</t>
  </si>
  <si>
    <t>06-50044-47, 06-50051-53, 06-50100-103</t>
  </si>
  <si>
    <t>06-50036-38</t>
  </si>
  <si>
    <t>06-50039, 06-50048-49</t>
  </si>
  <si>
    <t>06-50054</t>
  </si>
  <si>
    <t>Very turbid.  PGE operations on tailrace, water flowing downhillside from forebay.</t>
  </si>
  <si>
    <t>DJC, TB, JC</t>
  </si>
  <si>
    <t>JF, LS, TB</t>
  </si>
  <si>
    <t>RJB, SG, DL</t>
  </si>
  <si>
    <t>JF, DJC, JC</t>
  </si>
  <si>
    <t>TB, JE, JK</t>
  </si>
  <si>
    <t>JC, DJC, DL</t>
  </si>
  <si>
    <t>127/208</t>
  </si>
  <si>
    <t>RJB,DJC,JF</t>
  </si>
  <si>
    <t>JC, TB, LS</t>
  </si>
  <si>
    <t>AT,DL, DJC</t>
  </si>
  <si>
    <t>RJB,TB,LS</t>
  </si>
  <si>
    <t>9:25</t>
  </si>
  <si>
    <t>HP, JN, DL</t>
  </si>
  <si>
    <t>9:30</t>
  </si>
  <si>
    <t>JF, TA, JC</t>
  </si>
  <si>
    <t>80/211</t>
  </si>
  <si>
    <t>9:41</t>
  </si>
  <si>
    <t>JF, JE, RJB</t>
  </si>
  <si>
    <t>9:45</t>
  </si>
  <si>
    <t>SG, JC, JF</t>
  </si>
  <si>
    <t>AT, TB, DJC</t>
  </si>
  <si>
    <t>TB, DL, DJC</t>
  </si>
  <si>
    <t>9:50</t>
  </si>
  <si>
    <t>DL, DJC, RJB</t>
  </si>
  <si>
    <t>9:00</t>
  </si>
  <si>
    <t>JN, JC, AT</t>
  </si>
  <si>
    <t>9:40</t>
  </si>
  <si>
    <t>TA, JF, JK</t>
  </si>
  <si>
    <t>76.5/248.6</t>
  </si>
  <si>
    <t>LS, JC, JF</t>
  </si>
  <si>
    <t>JC, LS, JF</t>
  </si>
  <si>
    <t>DJC, TB, DL</t>
  </si>
  <si>
    <t>JF, DL, AT</t>
  </si>
  <si>
    <t>R4A</t>
  </si>
  <si>
    <t>TB, RJB, JK</t>
  </si>
  <si>
    <t>R4B</t>
  </si>
  <si>
    <t>DJC, JC, DL</t>
  </si>
  <si>
    <t>AT, TB, RJB</t>
  </si>
  <si>
    <t>JK, TA, KW</t>
  </si>
  <si>
    <t>81/268</t>
  </si>
  <si>
    <t>JC, JK, RJB</t>
  </si>
  <si>
    <t>DL, JF, LS</t>
  </si>
  <si>
    <t>DL, JC, TA</t>
  </si>
  <si>
    <t>HP,JF, RJB</t>
  </si>
  <si>
    <t>RJB, TA, JC</t>
  </si>
  <si>
    <t>TA, AT, JK</t>
  </si>
  <si>
    <t>81/269</t>
  </si>
  <si>
    <t>Chinook skeleton; no tissue to bio sample</t>
  </si>
  <si>
    <t>Turb doubled after forebay &lt; 2ft vis</t>
  </si>
  <si>
    <t>Chinook obs. @ wp 120 was very unaware</t>
  </si>
  <si>
    <t>First fish observed had odd bejavior</t>
  </si>
  <si>
    <t>Many scratches between redds</t>
  </si>
  <si>
    <t>Pics of bubbleing bush intake pipe</t>
  </si>
  <si>
    <t xml:space="preserve"> Very large redd, covered width of stream, could be more than one redd</t>
  </si>
  <si>
    <t>Eggs were found on rock near WP 289 carcass</t>
  </si>
  <si>
    <t>No beg. Turb, only two people snorkeled after lunch, no WP accuracy</t>
  </si>
  <si>
    <t>Pics of bypass pipe after orwick diversion</t>
  </si>
  <si>
    <t>Just head of carcass</t>
  </si>
  <si>
    <t>End turb may be high due to snorkelers in water</t>
  </si>
  <si>
    <t xml:space="preserve">100207R2b#9 remeasured </t>
  </si>
  <si>
    <t>unable to sample one CHN carcass, was only rotten flesh</t>
  </si>
  <si>
    <t>measured redds not measured on last survey</t>
  </si>
  <si>
    <t>Fish sitting on redds 24&amp;25 was not waypointed  Used waypoint from prev survey</t>
  </si>
  <si>
    <t>heavy rain @ end of survey</t>
  </si>
  <si>
    <t>temps taken from the temp loggers in field, no thermometer in kit.</t>
  </si>
  <si>
    <t>3 of the carcasses were unsampled ( 2 female, 1 unk) the unknown was too decomposed to tell clip status</t>
  </si>
  <si>
    <t>possible carcass ( Just Skeleton) below confluence, not able to identify</t>
  </si>
  <si>
    <t>JC, LS, AT</t>
  </si>
  <si>
    <t>LS, RJB, HP</t>
  </si>
  <si>
    <t>DL, JE, JC</t>
  </si>
  <si>
    <t>SF, HP, AT</t>
  </si>
  <si>
    <t>DL, DJC, RL</t>
  </si>
  <si>
    <t>HP, RJB, DL</t>
  </si>
  <si>
    <t>SF, JC, AT</t>
  </si>
  <si>
    <t>192/77</t>
  </si>
  <si>
    <t>RJB, DL, AT</t>
  </si>
  <si>
    <t>SF, DJC, JC</t>
  </si>
  <si>
    <t>HP, DL, RL</t>
  </si>
  <si>
    <t>SF, DL, RJB</t>
  </si>
  <si>
    <t>HP, RL, AT</t>
  </si>
  <si>
    <t>RL, AT, JK</t>
  </si>
  <si>
    <t>213/79</t>
  </si>
  <si>
    <t>DL, RL, JC</t>
  </si>
  <si>
    <t>RL, AT, LS</t>
  </si>
  <si>
    <t>HP, JK, JC</t>
  </si>
  <si>
    <t>HP, LS, JK</t>
  </si>
  <si>
    <t>DL, AT, DJC</t>
  </si>
  <si>
    <t>RL, AT, JC</t>
  </si>
  <si>
    <t>HP, JK, AT</t>
  </si>
  <si>
    <t>206/79</t>
  </si>
  <si>
    <t>09:57</t>
  </si>
  <si>
    <t>RL,JN,DC</t>
  </si>
  <si>
    <t>10:36</t>
  </si>
  <si>
    <t>KW,JC,AT</t>
  </si>
  <si>
    <t>09:47</t>
  </si>
  <si>
    <t>RJB, DL, JE</t>
  </si>
  <si>
    <t>10:05</t>
  </si>
  <si>
    <t>DL, RL, HP</t>
  </si>
  <si>
    <t>08:40</t>
  </si>
  <si>
    <t>AT, JK, JC</t>
  </si>
  <si>
    <t>207/77</t>
  </si>
  <si>
    <t>09:00</t>
  </si>
  <si>
    <t>RJB, RL, JC</t>
  </si>
  <si>
    <t>09:45</t>
  </si>
  <si>
    <t>SF,RJB,DL</t>
  </si>
  <si>
    <t>SF,JC,AT</t>
  </si>
  <si>
    <t>278/77</t>
  </si>
  <si>
    <t>RJB,RL,JC</t>
  </si>
  <si>
    <t>SF,DL,JC</t>
  </si>
  <si>
    <t>RL,AT,RJB</t>
  </si>
  <si>
    <t>RL,DL,RJB</t>
  </si>
  <si>
    <t>SF,JN,AT</t>
  </si>
  <si>
    <t>HP,LS,SG</t>
  </si>
  <si>
    <t>220/79</t>
  </si>
  <si>
    <t>CHN CARCASS JUST A SKELETON</t>
  </si>
  <si>
    <t>11 chn juv throughout reach</t>
  </si>
  <si>
    <t>Coleman PH offline</t>
  </si>
  <si>
    <t>THERM. BROKEN</t>
  </si>
  <si>
    <t>Fungus seen on juv chn</t>
  </si>
  <si>
    <t>1 WPT</t>
  </si>
  <si>
    <t>SPILLWAY FLOWING</t>
  </si>
  <si>
    <t>Pump in creek</t>
  </si>
  <si>
    <t>carcass was just a tail  UNK redd has dirty pit but clean tail</t>
  </si>
  <si>
    <t>TEMP LOGGER ABOVE BALDWIN POOL FAILED</t>
  </si>
  <si>
    <t>1 JACK</t>
  </si>
  <si>
    <t>Turbid after powerhouse   Big spike in flow</t>
  </si>
  <si>
    <t>Redd above bridge</t>
  </si>
  <si>
    <t>Survey</t>
  </si>
  <si>
    <t>Start Time</t>
  </si>
  <si>
    <t>Start Temp</t>
  </si>
  <si>
    <t>Start Turb</t>
  </si>
  <si>
    <t>End Time</t>
  </si>
  <si>
    <t>End Turb</t>
  </si>
  <si>
    <t>SF,RJ,JN</t>
  </si>
  <si>
    <t>09:22:43am</t>
  </si>
  <si>
    <t>03:16:50pm</t>
  </si>
  <si>
    <t>KW,HP,LS</t>
  </si>
  <si>
    <t>09:04:22am</t>
  </si>
  <si>
    <t>02:42:39pm</t>
  </si>
  <si>
    <t>RB,SG,DC</t>
  </si>
  <si>
    <t>09:28:27am</t>
  </si>
  <si>
    <t>12:37:32pm</t>
  </si>
  <si>
    <t>MSB,LS,JE</t>
  </si>
  <si>
    <t>10:23:33am</t>
  </si>
  <si>
    <t>04:30:53pm</t>
  </si>
  <si>
    <t>SG,SF,JE</t>
  </si>
  <si>
    <t>09:36:09am</t>
  </si>
  <si>
    <t>04:54:20pm</t>
  </si>
  <si>
    <t>HP,KW,JK</t>
  </si>
  <si>
    <t>10:53:47am</t>
  </si>
  <si>
    <t>03:33:55pm</t>
  </si>
  <si>
    <t>JN,JK,MSB</t>
  </si>
  <si>
    <t>81.7 , 204.2</t>
  </si>
  <si>
    <t>09:07:53am</t>
  </si>
  <si>
    <t>01:51:34pm</t>
  </si>
  <si>
    <t>RJB,JN,SF</t>
  </si>
  <si>
    <t>09:54:57am</t>
  </si>
  <si>
    <t>02:55:42pm</t>
  </si>
  <si>
    <t>DC,SG,LS</t>
  </si>
  <si>
    <t>09:26:06am</t>
  </si>
  <si>
    <t>04:10:59pm</t>
  </si>
  <si>
    <t>RJB,DT,LS</t>
  </si>
  <si>
    <t>09:59:13am</t>
  </si>
  <si>
    <t>03:51:40pm</t>
  </si>
  <si>
    <t>djc,msb,mb</t>
  </si>
  <si>
    <t>09:47:58am</t>
  </si>
  <si>
    <t>03:37:41pm</t>
  </si>
  <si>
    <t>JN,KW,RJB</t>
  </si>
  <si>
    <t>09:50:03am</t>
  </si>
  <si>
    <t>01:35:28pm</t>
  </si>
  <si>
    <t>msb,djc,cp</t>
  </si>
  <si>
    <t>81.2 , 220.5</t>
  </si>
  <si>
    <t>09:47:07am</t>
  </si>
  <si>
    <t>01:12:41pm</t>
  </si>
  <si>
    <t>comments</t>
  </si>
  <si>
    <t>RB, SC, AT</t>
  </si>
  <si>
    <t>09:10:03am</t>
  </si>
  <si>
    <t>02:22:24pm</t>
  </si>
  <si>
    <t>SC TB RJB</t>
  </si>
  <si>
    <t>08:38:41am</t>
  </si>
  <si>
    <t>01:34:59pm</t>
  </si>
  <si>
    <t>kw jk ms</t>
  </si>
  <si>
    <t>10:19:38am</t>
  </si>
  <si>
    <t>05:53:26pm</t>
  </si>
  <si>
    <t>AT,TB,DJC</t>
  </si>
  <si>
    <t>08:53:18am</t>
  </si>
  <si>
    <t>01:52:37pm</t>
  </si>
  <si>
    <t>RJB, KW, SC</t>
  </si>
  <si>
    <t>09:31:00am</t>
  </si>
  <si>
    <t>01:52:12pm</t>
  </si>
  <si>
    <t>js jk ms</t>
  </si>
  <si>
    <t>09:43:17am</t>
  </si>
  <si>
    <t>02:18:31pm</t>
  </si>
  <si>
    <t>RJB, JN, SC</t>
  </si>
  <si>
    <t>09:18:10am</t>
  </si>
  <si>
    <t>02:48:17pm</t>
  </si>
  <si>
    <t>DJC, TB, AT</t>
  </si>
  <si>
    <t>08:39:02am</t>
  </si>
  <si>
    <t>12:40:02pm</t>
  </si>
  <si>
    <t>Wildcat to Bridge</t>
  </si>
  <si>
    <t>RJB, MS, TB</t>
  </si>
  <si>
    <t>08:48:38am</t>
  </si>
  <si>
    <t>12:10:46pm</t>
  </si>
  <si>
    <t>Bridge to Confluence</t>
  </si>
  <si>
    <t>SC, AT, KW</t>
  </si>
  <si>
    <t>09:32:13am</t>
  </si>
  <si>
    <t>04:08:05pm</t>
  </si>
  <si>
    <t>DJC, AT, MS</t>
  </si>
  <si>
    <t>09:06:29am</t>
  </si>
  <si>
    <t>01:48:14pm</t>
  </si>
  <si>
    <t>SC, RJB, SG</t>
  </si>
  <si>
    <t>09:21:23am</t>
  </si>
  <si>
    <t>02:04:07pm</t>
  </si>
  <si>
    <t>MB, TB, JN</t>
  </si>
  <si>
    <t>09:20:00am</t>
  </si>
  <si>
    <t>01:50:00pm</t>
  </si>
  <si>
    <t>RJB MS AT</t>
  </si>
  <si>
    <t>09:03:43am</t>
  </si>
  <si>
    <t>02:24:54pm</t>
  </si>
  <si>
    <t>TB JN DC</t>
  </si>
  <si>
    <t>09:43:18am</t>
  </si>
  <si>
    <t>03:06:00pm</t>
  </si>
  <si>
    <t>TB AT KW</t>
  </si>
  <si>
    <t>09:29:32am</t>
  </si>
  <si>
    <t>01:58:28pm</t>
  </si>
  <si>
    <t>ms, ah cb</t>
  </si>
  <si>
    <t>11:32:24am</t>
  </si>
  <si>
    <t>03:37:28pm</t>
  </si>
  <si>
    <t>RJB, DJC, TB</t>
  </si>
  <si>
    <t>08:55:14am</t>
  </si>
  <si>
    <t>11:24:05am</t>
  </si>
  <si>
    <t>jk,jn,tb</t>
  </si>
  <si>
    <t>09:07:54am</t>
  </si>
  <si>
    <t>01:21:02pm</t>
  </si>
  <si>
    <t>WEATHER</t>
  </si>
  <si>
    <t>COMMENTS</t>
  </si>
  <si>
    <t>MS, RJB, TB</t>
  </si>
  <si>
    <t>Sunny</t>
  </si>
  <si>
    <t>TB, RJB, SC</t>
  </si>
  <si>
    <t>BMB, SC, AT</t>
  </si>
  <si>
    <t>CM, TB, DJC</t>
  </si>
  <si>
    <t>RJB, BMB, SC</t>
  </si>
  <si>
    <t>CM, JK, BMB</t>
  </si>
  <si>
    <t>RJB, JDG, MS</t>
  </si>
  <si>
    <t>BMB, AT, TB</t>
  </si>
  <si>
    <t>Forgot turb vials. Late start due to locked gate.</t>
  </si>
  <si>
    <t>RJB, TB, JDG</t>
  </si>
  <si>
    <t>SC, RJB, JGD</t>
  </si>
  <si>
    <t>Cloudy</t>
  </si>
  <si>
    <t>BMB, JE, TB</t>
  </si>
  <si>
    <t>SM, SG, AT</t>
  </si>
  <si>
    <t>MS, JDG, SC</t>
  </si>
  <si>
    <t>BMB, RJB, TB</t>
  </si>
  <si>
    <t>SC, SM, AT</t>
  </si>
  <si>
    <t>RJB, JDG, CM</t>
  </si>
  <si>
    <t>Thermometer had a bubble. We used it, but estimated bubble adju</t>
  </si>
  <si>
    <t>BMB, TB, SM</t>
  </si>
  <si>
    <t>Partly Cloudy</t>
  </si>
  <si>
    <t>SC, JDG, AT</t>
  </si>
  <si>
    <t>CM, SC, JK</t>
  </si>
  <si>
    <t>BB, RJB, TB</t>
  </si>
  <si>
    <t>R1A</t>
  </si>
  <si>
    <t>RJB, AH, BB</t>
  </si>
  <si>
    <t>"says 66 live in the END point" but verified there were 58  live observations SLG 12-19-2012</t>
  </si>
  <si>
    <t>R1B</t>
  </si>
  <si>
    <t>SG, AT, TB</t>
  </si>
  <si>
    <t>2 juveniles</t>
  </si>
  <si>
    <t>RJB, AT, AH</t>
  </si>
  <si>
    <t>BB, JE, TB</t>
  </si>
  <si>
    <t>8 juveniles</t>
  </si>
  <si>
    <t>RJB, AT, SM</t>
  </si>
  <si>
    <t>CB, AT, TB</t>
  </si>
  <si>
    <t>RJB, SM, AT</t>
  </si>
  <si>
    <t>JK, SM, MS</t>
  </si>
  <si>
    <t>BB, AT, JE</t>
  </si>
  <si>
    <t>JE, SG, AT</t>
  </si>
  <si>
    <t>BB, RJB, MS</t>
  </si>
  <si>
    <t>JE, MS, SG</t>
  </si>
  <si>
    <t>end point at logger but surveyed til baldwin cr, no turbs found</t>
  </si>
  <si>
    <t>MS, LE, SM</t>
  </si>
  <si>
    <t>BB, RJB, AT</t>
  </si>
  <si>
    <t>thermometer cracked, get temp from logger</t>
  </si>
  <si>
    <t>AT, JK, LE</t>
  </si>
  <si>
    <t>AT, JE, TB</t>
  </si>
  <si>
    <t>TB, MS, AT</t>
  </si>
  <si>
    <t>Showers</t>
  </si>
  <si>
    <t>TB, JE, LE</t>
  </si>
  <si>
    <t>SM, AT, SG</t>
  </si>
  <si>
    <t>SM, JK, LE</t>
  </si>
  <si>
    <t>LE, AT, TB</t>
  </si>
  <si>
    <t>survey aborted early at baldwin crk, high turb</t>
  </si>
  <si>
    <t>started survey at baldwin creek</t>
  </si>
  <si>
    <t>JE, SG, MS</t>
  </si>
  <si>
    <t>SM, JK, RS, CS, TB</t>
  </si>
  <si>
    <t>Beg Time</t>
  </si>
  <si>
    <t>Beg Turb</t>
  </si>
  <si>
    <t>LD, RJB, LE</t>
  </si>
  <si>
    <t>09:41:31am</t>
  </si>
  <si>
    <t>02:29:49pm</t>
  </si>
  <si>
    <t>pics of dynomite rock</t>
  </si>
  <si>
    <t>CS, JE, TB</t>
  </si>
  <si>
    <t>09:53:05am</t>
  </si>
  <si>
    <t>02:04:24pm</t>
  </si>
  <si>
    <t xml:space="preserve"> </t>
  </si>
  <si>
    <t>LD, LE, AT</t>
  </si>
  <si>
    <t>09:25:48am</t>
  </si>
  <si>
    <t>11:03:45am</t>
  </si>
  <si>
    <t>RJB, SP, CC</t>
  </si>
  <si>
    <t>09:07:22am</t>
  </si>
  <si>
    <t>11:21:39am</t>
  </si>
  <si>
    <t>R2b, 4a</t>
  </si>
  <si>
    <t>LE, CS, AT</t>
  </si>
  <si>
    <t>9:28:55am</t>
  </si>
  <si>
    <t>12:38:18pm</t>
  </si>
  <si>
    <t>2 chinook in 2B</t>
  </si>
  <si>
    <t>LD, AT, TB</t>
  </si>
  <si>
    <t>08:59:01am</t>
  </si>
  <si>
    <t>01:00:09pm</t>
  </si>
  <si>
    <t>R4b</t>
  </si>
  <si>
    <t>CC, RS, RJB</t>
  </si>
  <si>
    <t>08:42:57am</t>
  </si>
  <si>
    <t>11:54:08am</t>
  </si>
  <si>
    <t>3 unidentified flesh, 1 unidentified spine</t>
  </si>
  <si>
    <t>TB, CS, JE</t>
  </si>
  <si>
    <t>09:01:39am</t>
  </si>
  <si>
    <t>01:30:05pm</t>
  </si>
  <si>
    <t>pictures taken of test redd #3</t>
  </si>
  <si>
    <t>JK, RS, SP</t>
  </si>
  <si>
    <t>08:52:00am</t>
  </si>
  <si>
    <t>12:27:20pm</t>
  </si>
  <si>
    <t>TJB, TB, CS</t>
  </si>
  <si>
    <t>08:58:29am</t>
  </si>
  <si>
    <t>01:19:34pm</t>
  </si>
  <si>
    <t>AT,CC,LE</t>
  </si>
  <si>
    <t>09:30:57am</t>
  </si>
  <si>
    <t>12:49:07pm</t>
  </si>
  <si>
    <t>R2a</t>
  </si>
  <si>
    <t>SP, RS, TB</t>
  </si>
  <si>
    <t>08:59:00am</t>
  </si>
  <si>
    <t>No end turb taken, start turb used</t>
  </si>
  <si>
    <t>SG,CS,AT</t>
  </si>
  <si>
    <t>09:18:42am</t>
  </si>
  <si>
    <t>12:46:39pm</t>
  </si>
  <si>
    <t>reach 2b and 4a</t>
  </si>
  <si>
    <t>RS, CC, LE</t>
  </si>
  <si>
    <t>10:03:17am</t>
  </si>
  <si>
    <t>02:40:48pm</t>
  </si>
  <si>
    <t>RJB, SP, AT</t>
  </si>
  <si>
    <t>08:38:16am</t>
  </si>
  <si>
    <t>11:39:06am</t>
  </si>
  <si>
    <t>CS, TB, CC</t>
  </si>
  <si>
    <t>09:04:38am</t>
  </si>
  <si>
    <t>12:33:15pm</t>
  </si>
  <si>
    <t>CS, JK, RS</t>
  </si>
  <si>
    <t>08:50:35am</t>
  </si>
  <si>
    <t>11:56:41am</t>
  </si>
  <si>
    <t>SP, TB, RJB</t>
  </si>
  <si>
    <t>08:41:18am</t>
  </si>
  <si>
    <t>12:40:15pm</t>
  </si>
  <si>
    <t>RS, AT, CC</t>
  </si>
  <si>
    <t>09:27:07am</t>
  </si>
  <si>
    <t>01:52:59pm</t>
  </si>
  <si>
    <t>RJB, RS, TB</t>
  </si>
  <si>
    <t>08:43:07am</t>
  </si>
  <si>
    <t>CS, CC, AT</t>
  </si>
  <si>
    <t>8:57:01am</t>
  </si>
  <si>
    <t>CS, CC, SG</t>
  </si>
  <si>
    <t>09:35:57am</t>
  </si>
  <si>
    <t>02:36:30pm</t>
  </si>
  <si>
    <t>SP, RS, RJB</t>
  </si>
  <si>
    <t>08:39:50am</t>
  </si>
  <si>
    <t>TB, CS, AT</t>
  </si>
  <si>
    <t>8:56:13am</t>
  </si>
  <si>
    <t>CS, SP, JK</t>
  </si>
  <si>
    <t>08:46:56am</t>
  </si>
  <si>
    <t>End time estimated, no end point</t>
  </si>
  <si>
    <t>Redd Kit</t>
  </si>
  <si>
    <t>Biosampler</t>
  </si>
  <si>
    <t>TB</t>
  </si>
  <si>
    <t>AT</t>
  </si>
  <si>
    <t>RJB</t>
  </si>
  <si>
    <t>08:50:05am</t>
  </si>
  <si>
    <t>12:22:13pm</t>
  </si>
  <si>
    <t>CS</t>
  </si>
  <si>
    <t>08:51:55am</t>
  </si>
  <si>
    <t>12:44:17pm</t>
  </si>
  <si>
    <t>SG</t>
  </si>
  <si>
    <t>Clear</t>
  </si>
  <si>
    <t>09:14:01am</t>
  </si>
  <si>
    <t>01:21:03pm</t>
  </si>
  <si>
    <t xml:space="preserve"> poor visability during the survey, hard to see live during lots of 2A</t>
  </si>
  <si>
    <t>SP</t>
  </si>
  <si>
    <t>08:32:29am</t>
  </si>
  <si>
    <t>12:22:42pm</t>
  </si>
  <si>
    <t>MM</t>
  </si>
  <si>
    <t>09:04:37am</t>
  </si>
  <si>
    <t>12:11:23pm</t>
  </si>
  <si>
    <t>09:53:53am</t>
  </si>
  <si>
    <t>12:13:04pm</t>
  </si>
  <si>
    <t>poor visibility throughout.  Would've still seen any potential redds, live count probably not solid</t>
  </si>
  <si>
    <t>09:17:00am</t>
  </si>
  <si>
    <t>01:33:24pm</t>
  </si>
  <si>
    <t>LE</t>
  </si>
  <si>
    <t>08:41:19am</t>
  </si>
  <si>
    <t>No_end_point</t>
  </si>
  <si>
    <t>Poor visibility</t>
  </si>
  <si>
    <t>JE</t>
  </si>
  <si>
    <t>08:56:37am</t>
  </si>
  <si>
    <t>03:59:44pm</t>
  </si>
  <si>
    <t>RB</t>
  </si>
  <si>
    <t>09:29:19am</t>
  </si>
  <si>
    <t>02:22:13pm</t>
  </si>
  <si>
    <t>08:37:37am</t>
  </si>
  <si>
    <t>11:27:18am</t>
  </si>
  <si>
    <t>JK</t>
  </si>
  <si>
    <t>08:53:03am</t>
  </si>
  <si>
    <t>11:42:07am</t>
  </si>
  <si>
    <t>09:13:53am</t>
  </si>
  <si>
    <t>12:46:41pm</t>
  </si>
  <si>
    <t>End turb was taken in flowing water, but it is pretty high, might still have stuff snorkelers kicked up.</t>
  </si>
  <si>
    <t>08:51:41am</t>
  </si>
  <si>
    <t>01:16:26pm</t>
  </si>
  <si>
    <t>09:28:30am</t>
  </si>
  <si>
    <t>04:23:06pm</t>
  </si>
  <si>
    <t>light rain</t>
  </si>
  <si>
    <t>09:12:36am</t>
  </si>
  <si>
    <t>01:07:46pm</t>
  </si>
  <si>
    <t>09:40:01am</t>
  </si>
  <si>
    <t>12:02:00pm</t>
  </si>
  <si>
    <t>09:12:38am</t>
  </si>
  <si>
    <t>12:56:21pm</t>
  </si>
  <si>
    <t>RC</t>
  </si>
  <si>
    <t>GA</t>
  </si>
  <si>
    <t>RS</t>
  </si>
  <si>
    <t>TW</t>
  </si>
  <si>
    <t>One Redd in high &gt;60% sand.</t>
  </si>
  <si>
    <t>One live fish</t>
  </si>
  <si>
    <t>redds aged on paper</t>
  </si>
  <si>
    <t>CLEAR</t>
  </si>
  <si>
    <t>09:05:44am</t>
  </si>
  <si>
    <t>01:20:40pm</t>
  </si>
  <si>
    <t>08:46:37am</t>
  </si>
  <si>
    <t>11:36:43am</t>
  </si>
  <si>
    <t>09:22:09am</t>
  </si>
  <si>
    <t>10:48:17am</t>
  </si>
  <si>
    <t>knee injury bc springs</t>
  </si>
  <si>
    <t>09:44:46am</t>
  </si>
  <si>
    <t>02:39:16pm</t>
  </si>
  <si>
    <t>start at bc springs</t>
  </si>
  <si>
    <t>CLOUDY</t>
  </si>
  <si>
    <t>08:45:55am</t>
  </si>
  <si>
    <t>12:02:37pm</t>
  </si>
  <si>
    <t>09:13:40am</t>
  </si>
  <si>
    <t>01:09:51pm</t>
  </si>
  <si>
    <t>PARTLY CLOUDY</t>
  </si>
  <si>
    <t>08:49:32am</t>
  </si>
  <si>
    <t>11:14:05am</t>
  </si>
  <si>
    <t>08:58:51am</t>
  </si>
  <si>
    <t>11:29:08am</t>
  </si>
  <si>
    <t>09:16:40am</t>
  </si>
  <si>
    <t>01:24:24pm</t>
  </si>
  <si>
    <t>09:05:59am</t>
  </si>
  <si>
    <t>11:28:09am</t>
  </si>
  <si>
    <t>08:47:10am</t>
  </si>
  <si>
    <t>12:33:04pm</t>
  </si>
  <si>
    <t>09:03:50am</t>
  </si>
  <si>
    <t>11:39:07am</t>
  </si>
  <si>
    <t>09:35:07am</t>
  </si>
  <si>
    <t>01:58:15pm</t>
  </si>
  <si>
    <t>08:37:16am</t>
  </si>
  <si>
    <t>10:55:23am</t>
  </si>
  <si>
    <t>08:56:14am</t>
  </si>
  <si>
    <t>11:01:33am</t>
  </si>
  <si>
    <t>09:08:29AM</t>
  </si>
  <si>
    <t>12:52:04PM</t>
  </si>
  <si>
    <t>09:14:10AM</t>
  </si>
  <si>
    <t>01:18:18PM</t>
  </si>
  <si>
    <t>08:44:40AM</t>
  </si>
  <si>
    <t>11:42:32AM</t>
  </si>
  <si>
    <t>CR</t>
  </si>
  <si>
    <t>08:57:54AM</t>
  </si>
  <si>
    <t>11:36:35AM</t>
  </si>
  <si>
    <t>poor visibility</t>
  </si>
  <si>
    <t>MS</t>
  </si>
  <si>
    <t>08:53:59AM</t>
  </si>
  <si>
    <t>11:45:22AM</t>
  </si>
  <si>
    <t>09:16:59am</t>
  </si>
  <si>
    <t>02:42:06pm</t>
  </si>
  <si>
    <t>09:14:29am</t>
  </si>
  <si>
    <t>12:43:29pm</t>
  </si>
  <si>
    <t>10' accuracy</t>
  </si>
  <si>
    <t>08:36:27am</t>
  </si>
  <si>
    <t>11:54:45am</t>
  </si>
  <si>
    <t>09:48:51am</t>
  </si>
  <si>
    <t>01:58:41pm</t>
  </si>
  <si>
    <t>RM</t>
  </si>
  <si>
    <t>08:57:05am</t>
  </si>
  <si>
    <t>11:20:09am</t>
  </si>
  <si>
    <t>AW</t>
  </si>
  <si>
    <t>09:17:27am</t>
  </si>
  <si>
    <t>12:41:50pm</t>
  </si>
  <si>
    <t>09:35:13am</t>
  </si>
  <si>
    <t>01:13:32pm</t>
  </si>
  <si>
    <t>09:27:30am</t>
  </si>
  <si>
    <t>12:45:17pm</t>
  </si>
  <si>
    <t>08:39:54am</t>
  </si>
  <si>
    <t>11:58:39am</t>
  </si>
  <si>
    <t>cold, turbid and cold</t>
  </si>
  <si>
    <t>09:22:15am</t>
  </si>
  <si>
    <t>12:26:42pm</t>
  </si>
  <si>
    <t>10:57:04am</t>
  </si>
  <si>
    <t>08:57:51am</t>
  </si>
  <si>
    <t>11:17:36am</t>
  </si>
  <si>
    <t>not recorded</t>
  </si>
  <si>
    <t>12:30:31pm</t>
  </si>
  <si>
    <t>11:00:34am</t>
  </si>
  <si>
    <t>08:31:20am</t>
  </si>
  <si>
    <t>10:41:26am</t>
  </si>
  <si>
    <t>09:05:52am</t>
  </si>
  <si>
    <t>12:33:45pm</t>
  </si>
  <si>
    <t>09:30:56am</t>
  </si>
  <si>
    <t>03:06:05pm</t>
  </si>
  <si>
    <t>SV</t>
  </si>
  <si>
    <t>08:58:17am</t>
  </si>
  <si>
    <t>11:03:28am</t>
  </si>
  <si>
    <t>truncated survey due to smoke. WC dam to bridge</t>
  </si>
  <si>
    <t>08:57:44am</t>
  </si>
  <si>
    <t>12:30:59pm</t>
  </si>
  <si>
    <t>R2B/4</t>
  </si>
  <si>
    <t>08:46:43am</t>
  </si>
  <si>
    <t>10:25:50am</t>
  </si>
  <si>
    <t>End at the end of Baldwin Pool</t>
  </si>
  <si>
    <t>R6B</t>
  </si>
  <si>
    <t>08:35:45am</t>
  </si>
  <si>
    <t>10:00:00am</t>
  </si>
  <si>
    <t>Based on UBC temp offload end time is between 9:30 and 10:00. Manually input end time</t>
  </si>
  <si>
    <t>LAE</t>
  </si>
  <si>
    <t>JRC</t>
  </si>
  <si>
    <t>09:28:53am</t>
  </si>
  <si>
    <t>04:20:00pm</t>
  </si>
  <si>
    <t>check all flags could be 2 redd #9</t>
  </si>
  <si>
    <t>08:51:09am</t>
  </si>
  <si>
    <t>01:01:16pm</t>
  </si>
  <si>
    <t>09:10:52am</t>
  </si>
  <si>
    <t>12:56:24pm</t>
  </si>
  <si>
    <t>09:58:24am</t>
  </si>
  <si>
    <t>02:02:35pm</t>
  </si>
  <si>
    <t>09:11:02am</t>
  </si>
  <si>
    <t>12:02:38pm</t>
  </si>
  <si>
    <t>JL</t>
  </si>
  <si>
    <t>08:45:35am</t>
  </si>
  <si>
    <t>11:31:07am</t>
  </si>
  <si>
    <t>09:13:11am</t>
  </si>
  <si>
    <t>02:20:20pm</t>
  </si>
  <si>
    <t>09:13:17am</t>
  </si>
  <si>
    <t>01:17:18pm</t>
  </si>
  <si>
    <t>08:57:11am</t>
  </si>
  <si>
    <t>12:14:50pm</t>
  </si>
  <si>
    <t>Poor Visibility throughout reach especially at top of reach</t>
  </si>
  <si>
    <t>09:41:05am</t>
  </si>
  <si>
    <t>01:03:26pm</t>
  </si>
  <si>
    <t>08:57:32am</t>
  </si>
  <si>
    <t>10:48:30am</t>
  </si>
  <si>
    <t>09:03:51am</t>
  </si>
  <si>
    <t>11:48:18am</t>
  </si>
  <si>
    <t>09:30:05am</t>
  </si>
  <si>
    <t>01:41:30pm</t>
  </si>
  <si>
    <t>09:17:56am</t>
  </si>
  <si>
    <t>12:29:18pm</t>
  </si>
  <si>
    <t>09:39:39am</t>
  </si>
  <si>
    <t>12:32:13pm</t>
  </si>
  <si>
    <t>SS</t>
  </si>
  <si>
    <t>BF</t>
  </si>
  <si>
    <t>AG</t>
  </si>
  <si>
    <t>JG</t>
  </si>
  <si>
    <t xml:space="preserve">visibility Looks improved </t>
  </si>
  <si>
    <t>BC 6</t>
  </si>
  <si>
    <t>all 6 ON BC GA DATA PERSON</t>
  </si>
  <si>
    <t xml:space="preserve">No flow bomb today. </t>
  </si>
  <si>
    <t>TU</t>
  </si>
  <si>
    <t>MES</t>
  </si>
  <si>
    <t>GM</t>
  </si>
  <si>
    <t>Same crew same day; Live=SR</t>
  </si>
  <si>
    <t>carcass=JACK</t>
  </si>
  <si>
    <t>KC</t>
  </si>
  <si>
    <t>Same crew same day; end time approx based on context</t>
  </si>
  <si>
    <t>Same crew same day; start time approx based on context</t>
  </si>
  <si>
    <t>JP</t>
  </si>
  <si>
    <t>Data Person</t>
  </si>
  <si>
    <t xml:space="preserve">End time convert </t>
  </si>
  <si>
    <t>NS</t>
  </si>
  <si>
    <t>NP</t>
  </si>
  <si>
    <t>AKG</t>
  </si>
  <si>
    <t>CT</t>
  </si>
  <si>
    <t>NW</t>
  </si>
  <si>
    <t>No end turb</t>
  </si>
  <si>
    <t>Accidentally grabbed 2 end turbs, uncertain of which is start and end.</t>
  </si>
  <si>
    <t>No turbs?</t>
  </si>
  <si>
    <t>Rain</t>
  </si>
  <si>
    <t>2004 Battle Creek Snorkel Survey</t>
  </si>
  <si>
    <t>2006 Battle Creek Snorkel Survey</t>
  </si>
  <si>
    <t>2005 Battle Creek Snorkel Survey</t>
  </si>
  <si>
    <t>2007 Battle Creek Snorkel Survey</t>
  </si>
  <si>
    <t>2008 Battle Creek Snorkel Survey</t>
  </si>
  <si>
    <t>2009 Battle Creek Snorkel Survey</t>
  </si>
  <si>
    <t>2010 Battle Creek Snorkel Survey</t>
  </si>
  <si>
    <t>2011 Battle Creek Snorkel Survey</t>
  </si>
  <si>
    <t>2012 Battle Creek Snorkel Survey</t>
  </si>
  <si>
    <t>2021 Battle Creek Snorkel Survey</t>
  </si>
  <si>
    <t>2020 Battle Creek Snorkel Survey</t>
  </si>
  <si>
    <t>2019 Battle Creek Snorkel Survey</t>
  </si>
  <si>
    <t>2018 Battle Creek Snorkel Survey</t>
  </si>
  <si>
    <t>2017 Battle Creek Snorkel Survey</t>
  </si>
  <si>
    <t>2016 Battle Creek Snorkel Survey</t>
  </si>
  <si>
    <t>2015 Battle Creek Snorkel Survey</t>
  </si>
  <si>
    <t>2014 Battle Creek Snorkel Survey</t>
  </si>
  <si>
    <t>2013 Battle Creek Snorkel Survey</t>
  </si>
  <si>
    <t>75/255</t>
  </si>
  <si>
    <t>72/223</t>
  </si>
  <si>
    <t>78/259</t>
  </si>
  <si>
    <t>75/268</t>
  </si>
  <si>
    <t>74/252.5</t>
  </si>
  <si>
    <t>75/285</t>
  </si>
  <si>
    <t>biosampler TU</t>
  </si>
  <si>
    <t>Teresa on Biosample</t>
  </si>
  <si>
    <t>RR</t>
  </si>
  <si>
    <t>KB</t>
  </si>
  <si>
    <t>Teresa redds, forgot begin turb</t>
  </si>
  <si>
    <t>Survey canceled due to weather</t>
  </si>
  <si>
    <t>Other</t>
  </si>
  <si>
    <t>Incomplete survey. Stopped at bridge due to gear failure.</t>
  </si>
  <si>
    <t>Redd Person</t>
  </si>
  <si>
    <t>Weather</t>
  </si>
  <si>
    <t>Start Turbidity</t>
  </si>
  <si>
    <t>End Turbidity</t>
  </si>
  <si>
    <t>GNM</t>
  </si>
  <si>
    <t>AR</t>
  </si>
  <si>
    <t>CH</t>
  </si>
  <si>
    <t>JW</t>
  </si>
  <si>
    <t>CL</t>
  </si>
  <si>
    <t>GMM</t>
  </si>
  <si>
    <t>KO</t>
  </si>
  <si>
    <t>LC</t>
  </si>
  <si>
    <t>1 temp logger found out of water</t>
  </si>
  <si>
    <t>End temp shuttle is missing one.</t>
  </si>
  <si>
    <t xml:space="preserve">No live fish, carcasses, or redds </t>
  </si>
  <si>
    <t>Ended survey early for crew health</t>
  </si>
  <si>
    <t>Ended survey early at bridge due to cold</t>
  </si>
  <si>
    <t>Forgot start turb</t>
  </si>
  <si>
    <t>R2b</t>
  </si>
  <si>
    <t xml:space="preserve">R2b </t>
  </si>
  <si>
    <t>2022 Battle Creek Snorkel Survey</t>
  </si>
  <si>
    <t>2023 Battle Creek Snorkel Survey</t>
  </si>
  <si>
    <t>2024 Battle Creek Snorkel Survey</t>
  </si>
  <si>
    <t>survey</t>
  </si>
  <si>
    <t>SW</t>
  </si>
  <si>
    <t>CW</t>
  </si>
  <si>
    <t>AS</t>
  </si>
  <si>
    <t>AD</t>
  </si>
  <si>
    <t>No issues</t>
  </si>
  <si>
    <t>CS is 4th person</t>
  </si>
  <si>
    <t>visibilty good</t>
  </si>
  <si>
    <t>CS on REDD kit</t>
  </si>
  <si>
    <t xml:space="preserve">KW biosampling </t>
  </si>
  <si>
    <t>Cody s. Biosampler</t>
  </si>
  <si>
    <r>
      <t xml:space="preserve">Same crew same day; Live=SR; Plus one additional marked </t>
    </r>
    <r>
      <rPr>
        <i/>
        <u/>
        <sz val="12"/>
        <color theme="1"/>
        <rFont val="Times New Roman"/>
        <family val="1"/>
      </rPr>
      <t>O. mykiss</t>
    </r>
    <r>
      <rPr>
        <sz val="12"/>
        <color theme="1"/>
        <rFont val="Times New Roman"/>
        <family val="1"/>
      </rPr>
      <t xml:space="preserve"> redd (not included in redd total)</t>
    </r>
  </si>
  <si>
    <t>Data</t>
  </si>
  <si>
    <t>1st temp logger dry, most D/S logger did not download replaced in field, brought back and did DL w/ computer</t>
  </si>
  <si>
    <t>Columns (variables)</t>
  </si>
  <si>
    <t>Definition</t>
  </si>
  <si>
    <t xml:space="preserve">Number of individual survey </t>
  </si>
  <si>
    <t>Initials of crew members conducting survey</t>
  </si>
  <si>
    <t>Survey number within the survey year.</t>
  </si>
  <si>
    <t>Date the data were collected.</t>
  </si>
  <si>
    <t>Person recording data during the survey.</t>
  </si>
  <si>
    <t>Person with redd measurement equipment.</t>
  </si>
  <si>
    <t>Person with the bio-sample equipment.</t>
  </si>
  <si>
    <t>Weather conditions during the survey (Clear, Cloudy</t>
  </si>
  <si>
    <t>Turbidity (in NTU) of water sample collected at the start of the survey.</t>
  </si>
  <si>
    <t>Turbidity (in NTU) of water sample collected at the end of the survey.</t>
  </si>
  <si>
    <t>Comments from survey personnel about survey conditions.</t>
  </si>
  <si>
    <t>Flow (CFS) of BC fork during survey that was conducted</t>
  </si>
  <si>
    <t>Flow gage location where flow data was recrded from</t>
  </si>
  <si>
    <t>Survey start time</t>
  </si>
  <si>
    <t>Survey end time</t>
  </si>
  <si>
    <t>Logistical survey reach of creek: R1,R2,R3,R4,R5,R6,R7</t>
  </si>
  <si>
    <t>Turb Beg</t>
  </si>
  <si>
    <t>Turb End</t>
  </si>
  <si>
    <t>Time Beg</t>
  </si>
  <si>
    <t>Time 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</si>
</sst>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mm/dd/yyyy"/>
    <numFmt numFmtId="165" formatCode="0.0"/>
    <numFmt numFmtId="166" formatCode="[$-F400]h:mm:ss\ AM/PM"/>
    <numFmt numFmtId="167" formatCode="h:mm:ss;@"/>
    <numFmt numFmtId="168" formatCode="h:mm;@"/>
  </numFmts>
  <fonts count="22" x14ac:knownFonts="1">
    <font>
      <sz val="11"/>
      <color theme="1"/>
      <name val="Aptos Narrow"/>
      <family val="2"/>
      <scheme val="minor"/>
    </font>
    <font>
      <sz val="11"/>
      <color theme="1"/>
      <name val="Aptos Narrow"/>
      <family val="2"/>
      <scheme val="minor"/>
    </font>
    <font>
      <b/>
      <sz val="15"/>
      <color theme="3"/>
      <name val="Aptos Narrow"/>
      <family val="2"/>
      <scheme val="minor"/>
    </font>
    <font>
      <b/>
      <sz val="13"/>
      <color theme="3"/>
      <name val="Aptos Narrow"/>
      <family val="2"/>
      <scheme val="minor"/>
    </font>
    <font>
      <sz val="11"/>
      <color rgb="FF006100"/>
      <name val="Aptos Narrow"/>
      <family val="2"/>
      <scheme val="minor"/>
    </font>
    <font>
      <sz val="11"/>
      <color rgb="FF9C0006"/>
      <name val="Aptos Narrow"/>
      <family val="2"/>
      <scheme val="minor"/>
    </font>
    <font>
      <b/>
      <sz val="11"/>
      <color theme="1"/>
      <name val="Aptos Narrow"/>
      <family val="2"/>
      <scheme val="minor"/>
    </font>
    <font>
      <sz val="11"/>
      <name val="Aptos Narrow"/>
      <family val="2"/>
      <scheme val="minor"/>
    </font>
    <font>
      <sz val="10"/>
      <name val="Arial"/>
      <family val="2"/>
    </font>
    <font>
      <sz val="11"/>
      <name val="Times New Roman"/>
      <family val="1"/>
    </font>
    <font>
      <sz val="10"/>
      <name val="Times New Roman"/>
      <family val="1"/>
    </font>
    <font>
      <b/>
      <sz val="12"/>
      <color theme="1"/>
      <name val="Times New Roman"/>
      <family val="1"/>
    </font>
    <font>
      <b/>
      <sz val="12"/>
      <name val="Times New Roman"/>
      <family val="1"/>
    </font>
    <font>
      <sz val="12"/>
      <color theme="1"/>
      <name val="Times New Roman"/>
      <family val="1"/>
    </font>
    <font>
      <sz val="12"/>
      <name val="Times New Roman"/>
      <family val="1"/>
    </font>
    <font>
      <sz val="10"/>
      <color theme="1"/>
      <name val="Arial"/>
      <family val="2"/>
    </font>
    <font>
      <sz val="12"/>
      <color theme="3"/>
      <name val="Times New Roman"/>
      <family val="1"/>
    </font>
    <font>
      <sz val="11"/>
      <color theme="1"/>
      <name val="Times New Roman"/>
      <family val="1"/>
    </font>
    <font>
      <sz val="12"/>
      <color indexed="12"/>
      <name val="Times New Roman"/>
      <family val="1"/>
    </font>
    <font>
      <i/>
      <u/>
      <sz val="12"/>
      <color theme="1"/>
      <name val="Times New Roman"/>
      <family val="1"/>
    </font>
    <font>
      <b/>
      <sz val="12"/>
      <color theme="3"/>
      <name val="Times New Roman"/>
      <family val="1"/>
    </font>
    <font>
      <sz val="12"/>
      <color rgb="FFFF0000"/>
      <name val="Times New Roman"/>
      <family val="1"/>
    </font>
  </fonts>
  <fills count="5">
    <fill>
      <patternFill patternType="none"/>
    </fill>
    <fill>
      <patternFill patternType="gray125"/>
    </fill>
    <fill>
      <patternFill patternType="solid">
        <fgColor rgb="FFC6EFCE"/>
      </patternFill>
    </fill>
    <fill>
      <patternFill patternType="solid">
        <fgColor rgb="FFFFC7CE"/>
      </patternFill>
    </fill>
    <fill>
      <patternFill patternType="solid">
        <fgColor indexed="42"/>
        <bgColor indexed="64"/>
      </patternFill>
    </fill>
  </fills>
  <borders count="3">
    <border>
      <left/>
      <right/>
      <top/>
      <bottom/>
      <diagonal/>
    </border>
    <border>
      <left/>
      <right/>
      <top/>
      <bottom style="thick">
        <color theme="4"/>
      </bottom>
      <diagonal/>
    </border>
    <border>
      <left/>
      <right/>
      <top/>
      <bottom style="thick">
        <color theme="4" tint="0.499984740745262"/>
      </bottom>
      <diagonal/>
    </border>
  </borders>
  <cellStyleXfs count="12">
    <xf numFmtId="0" fontId="0" fillId="0" borderId="0"/>
    <xf numFmtId="0" fontId="2" fillId="0" borderId="1" applyNumberFormat="0" applyFill="0" applyAlignment="0" applyProtection="0"/>
    <xf numFmtId="0" fontId="3" fillId="0" borderId="2" applyNumberFormat="0" applyFill="0" applyAlignment="0" applyProtection="0"/>
    <xf numFmtId="0" fontId="4" fillId="2" borderId="0" applyNumberFormat="0" applyBorder="0" applyAlignment="0" applyProtection="0"/>
    <xf numFmtId="0" fontId="5" fillId="3" borderId="0" applyNumberFormat="0" applyBorder="0" applyAlignment="0" applyProtection="0"/>
    <xf numFmtId="0" fontId="1" fillId="0" borderId="0"/>
    <xf numFmtId="0" fontId="8" fillId="0" borderId="0"/>
    <xf numFmtId="0" fontId="8" fillId="0" borderId="0" applyNumberFormat="0" applyFill="0" applyBorder="0" applyAlignment="0" applyProtection="0"/>
    <xf numFmtId="0" fontId="1" fillId="0" borderId="0"/>
    <xf numFmtId="0" fontId="1" fillId="0" borderId="0"/>
    <xf numFmtId="0" fontId="1" fillId="0" borderId="0"/>
    <xf numFmtId="0" fontId="1" fillId="0" borderId="0"/>
  </cellStyleXfs>
  <cellXfs count="190">
    <xf numFmtId="0" fontId="0" fillId="0" borderId="0" xfId="0"/>
    <xf numFmtId="0" fontId="0" fillId="0" borderId="0" xfId="0" applyAlignment="1">
      <alignment horizontal="center"/>
    </xf>
    <xf numFmtId="14" fontId="0" fillId="0" borderId="0" xfId="0" applyNumberFormat="1" applyAlignment="1">
      <alignment horizontal="center"/>
    </xf>
    <xf numFmtId="0" fontId="9" fillId="0" borderId="0" xfId="0" applyFont="1" applyAlignment="1" applyProtection="1">
      <alignment horizontal="center"/>
      <protection locked="0"/>
    </xf>
    <xf numFmtId="14" fontId="9" fillId="0" borderId="0" xfId="0" applyNumberFormat="1" applyFont="1" applyAlignment="1" applyProtection="1">
      <alignment horizontal="center"/>
      <protection locked="0"/>
    </xf>
    <xf numFmtId="165" fontId="9" fillId="0" borderId="0" xfId="0" applyNumberFormat="1" applyFont="1" applyAlignment="1" applyProtection="1">
      <alignment horizontal="center"/>
      <protection locked="0"/>
    </xf>
    <xf numFmtId="20" fontId="9" fillId="0" borderId="0" xfId="0" applyNumberFormat="1" applyFont="1" applyAlignment="1" applyProtection="1">
      <alignment horizontal="center"/>
      <protection locked="0"/>
    </xf>
    <xf numFmtId="49" fontId="9" fillId="0" borderId="0" xfId="0" applyNumberFormat="1" applyFont="1" applyAlignment="1" applyProtection="1">
      <alignment horizontal="center"/>
      <protection locked="0"/>
    </xf>
    <xf numFmtId="164" fontId="9" fillId="0" borderId="0" xfId="0" applyNumberFormat="1" applyFont="1" applyAlignment="1" applyProtection="1">
      <alignment horizontal="center"/>
      <protection locked="0"/>
    </xf>
    <xf numFmtId="0" fontId="10" fillId="0" borderId="0" xfId="0" applyFont="1" applyAlignment="1" applyProtection="1">
      <alignment horizontal="center"/>
      <protection locked="0"/>
    </xf>
    <xf numFmtId="14" fontId="10" fillId="0" borderId="0" xfId="0" applyNumberFormat="1" applyFont="1" applyAlignment="1" applyProtection="1">
      <alignment horizontal="center"/>
      <protection locked="0"/>
    </xf>
    <xf numFmtId="20" fontId="10" fillId="0" borderId="0" xfId="0" applyNumberFormat="1" applyFont="1" applyAlignment="1" applyProtection="1">
      <alignment horizontal="center"/>
      <protection locked="0"/>
    </xf>
    <xf numFmtId="165" fontId="10" fillId="0" borderId="0" xfId="0" applyNumberFormat="1" applyFont="1" applyAlignment="1" applyProtection="1">
      <alignment horizontal="center"/>
      <protection locked="0"/>
    </xf>
    <xf numFmtId="14" fontId="10" fillId="0" borderId="0" xfId="0" applyNumberFormat="1" applyFont="1" applyAlignment="1">
      <alignment horizontal="center"/>
    </xf>
    <xf numFmtId="0" fontId="10" fillId="0" borderId="0" xfId="0" applyFont="1" applyAlignment="1">
      <alignment horizontal="center"/>
    </xf>
    <xf numFmtId="20" fontId="10" fillId="0" borderId="0" xfId="0" applyNumberFormat="1" applyFont="1" applyAlignment="1">
      <alignment horizontal="center"/>
    </xf>
    <xf numFmtId="165" fontId="10" fillId="0" borderId="0" xfId="0" applyNumberFormat="1" applyFont="1" applyAlignment="1">
      <alignment horizontal="center"/>
    </xf>
    <xf numFmtId="49" fontId="10" fillId="0" borderId="0" xfId="0" applyNumberFormat="1" applyFont="1" applyAlignment="1" applyProtection="1">
      <alignment horizontal="center"/>
      <protection locked="0"/>
    </xf>
    <xf numFmtId="164" fontId="10" fillId="0" borderId="0" xfId="0" applyNumberFormat="1" applyFont="1" applyAlignment="1" applyProtection="1">
      <alignment horizontal="center"/>
      <protection locked="0"/>
    </xf>
    <xf numFmtId="0" fontId="7" fillId="0" borderId="0" xfId="0" applyFont="1"/>
    <xf numFmtId="166" fontId="0" fillId="0" borderId="0" xfId="0" applyNumberFormat="1"/>
    <xf numFmtId="0" fontId="14" fillId="0" borderId="0" xfId="0" applyFont="1" applyAlignment="1">
      <alignment horizontal="center"/>
    </xf>
    <xf numFmtId="0" fontId="15" fillId="0" borderId="0" xfId="0" applyFont="1" applyAlignment="1">
      <alignment horizontal="center" wrapText="1"/>
    </xf>
    <xf numFmtId="14" fontId="7" fillId="0" borderId="0" xfId="7" applyNumberFormat="1" applyFont="1" applyFill="1" applyBorder="1" applyAlignment="1" applyProtection="1">
      <alignment horizontal="center"/>
    </xf>
    <xf numFmtId="0" fontId="7" fillId="0" borderId="0" xfId="7" applyFont="1" applyFill="1" applyBorder="1" applyAlignment="1" applyProtection="1">
      <alignment horizontal="center"/>
    </xf>
    <xf numFmtId="0" fontId="1" fillId="0" borderId="0" xfId="0" applyFont="1" applyAlignment="1">
      <alignment horizontal="center"/>
    </xf>
    <xf numFmtId="0" fontId="0" fillId="0" borderId="0" xfId="0" applyAlignment="1">
      <alignment horizontal="center" wrapText="1"/>
    </xf>
    <xf numFmtId="0" fontId="7" fillId="0" borderId="0" xfId="7" applyFont="1" applyFill="1" applyBorder="1" applyAlignment="1" applyProtection="1">
      <alignment horizontal="center" wrapText="1"/>
    </xf>
    <xf numFmtId="14" fontId="1" fillId="0" borderId="0" xfId="0" applyNumberFormat="1" applyFont="1" applyAlignment="1">
      <alignment horizontal="center"/>
    </xf>
    <xf numFmtId="1" fontId="1" fillId="0" borderId="0" xfId="8" applyNumberFormat="1" applyAlignment="1">
      <alignment horizontal="center"/>
    </xf>
    <xf numFmtId="1" fontId="1" fillId="0" borderId="0" xfId="9" applyNumberFormat="1" applyAlignment="1">
      <alignment horizontal="center"/>
    </xf>
    <xf numFmtId="14" fontId="1" fillId="0" borderId="0" xfId="10" applyNumberFormat="1" applyAlignment="1">
      <alignment horizontal="center"/>
    </xf>
    <xf numFmtId="1" fontId="1" fillId="0" borderId="0" xfId="10" applyNumberFormat="1" applyAlignment="1">
      <alignment horizontal="center"/>
    </xf>
    <xf numFmtId="1" fontId="1" fillId="0" borderId="0" xfId="11" applyNumberFormat="1" applyAlignment="1">
      <alignment horizontal="center"/>
    </xf>
    <xf numFmtId="0" fontId="0" fillId="0" borderId="0" xfId="0" applyAlignment="1">
      <alignment horizontal="left"/>
    </xf>
    <xf numFmtId="22" fontId="0" fillId="0" borderId="0" xfId="0" applyNumberFormat="1"/>
    <xf numFmtId="0" fontId="12" fillId="4" borderId="0" xfId="0" applyFont="1" applyFill="1"/>
    <xf numFmtId="0" fontId="14" fillId="4" borderId="0" xfId="0" applyFont="1" applyFill="1"/>
    <xf numFmtId="0" fontId="14" fillId="0" borderId="0" xfId="0" applyFont="1"/>
    <xf numFmtId="0" fontId="17" fillId="0" borderId="0" xfId="0" applyFont="1"/>
    <xf numFmtId="0" fontId="18" fillId="0" borderId="0" xfId="0" applyFont="1"/>
    <xf numFmtId="164" fontId="14" fillId="0" borderId="0" xfId="0" applyNumberFormat="1" applyFont="1" applyAlignment="1">
      <alignment horizontal="center"/>
    </xf>
    <xf numFmtId="0" fontId="14" fillId="0" borderId="0" xfId="0" applyFont="1" applyAlignment="1">
      <alignment horizontal="left"/>
    </xf>
    <xf numFmtId="164" fontId="14" fillId="0" borderId="0" xfId="0" applyNumberFormat="1" applyFont="1"/>
    <xf numFmtId="0" fontId="14" fillId="4" borderId="0" xfId="0" applyFont="1" applyFill="1" applyAlignment="1">
      <alignment horizontal="center"/>
    </xf>
    <xf numFmtId="0" fontId="18" fillId="0" borderId="0" xfId="0" applyFont="1" applyAlignment="1">
      <alignment horizontal="center"/>
    </xf>
    <xf numFmtId="0" fontId="9" fillId="0" borderId="0" xfId="4" applyNumberFormat="1" applyFont="1" applyFill="1" applyAlignment="1">
      <alignment horizontal="center"/>
    </xf>
    <xf numFmtId="0" fontId="9" fillId="0" borderId="0" xfId="4" applyNumberFormat="1" applyFont="1" applyFill="1" applyAlignment="1">
      <alignment horizontal="left"/>
    </xf>
    <xf numFmtId="0" fontId="12" fillId="4" borderId="0" xfId="0" applyFont="1" applyFill="1" applyAlignment="1">
      <alignment horizontal="left"/>
    </xf>
    <xf numFmtId="0" fontId="14" fillId="4" borderId="0" xfId="0" applyFont="1" applyFill="1" applyAlignment="1">
      <alignment horizontal="left"/>
    </xf>
    <xf numFmtId="0" fontId="18" fillId="0" borderId="0" xfId="0" applyFont="1" applyAlignment="1">
      <alignment horizontal="left"/>
    </xf>
    <xf numFmtId="0" fontId="17" fillId="0" borderId="0" xfId="0" applyFont="1" applyAlignment="1">
      <alignment horizontal="center"/>
    </xf>
    <xf numFmtId="14" fontId="17" fillId="0" borderId="0" xfId="0" applyNumberFormat="1" applyFont="1" applyAlignment="1">
      <alignment horizontal="center"/>
    </xf>
    <xf numFmtId="49" fontId="17" fillId="0" borderId="0" xfId="0" applyNumberFormat="1" applyFont="1" applyAlignment="1">
      <alignment horizontal="center"/>
    </xf>
    <xf numFmtId="1" fontId="13" fillId="0" borderId="0" xfId="0" applyNumberFormat="1" applyFont="1" applyFill="1" applyAlignment="1">
      <alignment horizontal="center"/>
    </xf>
    <xf numFmtId="14" fontId="13" fillId="0" borderId="0" xfId="0" applyNumberFormat="1" applyFont="1" applyFill="1" applyAlignment="1">
      <alignment horizontal="center"/>
    </xf>
    <xf numFmtId="168" fontId="13" fillId="0" borderId="0" xfId="0" applyNumberFormat="1" applyFont="1" applyFill="1" applyAlignment="1">
      <alignment horizontal="center"/>
    </xf>
    <xf numFmtId="165" fontId="13" fillId="0" borderId="0" xfId="0" applyNumberFormat="1" applyFont="1" applyFill="1" applyAlignment="1">
      <alignment horizontal="center"/>
    </xf>
    <xf numFmtId="1" fontId="14" fillId="0" borderId="0" xfId="0" applyNumberFormat="1" applyFont="1" applyFill="1" applyAlignment="1">
      <alignment horizontal="center"/>
    </xf>
    <xf numFmtId="0" fontId="14" fillId="0" borderId="0" xfId="0" applyFont="1" applyFill="1" applyAlignment="1">
      <alignment horizontal="center"/>
    </xf>
    <xf numFmtId="0" fontId="13" fillId="0" borderId="0" xfId="0" applyFont="1" applyFill="1" applyAlignment="1">
      <alignment horizontal="center"/>
    </xf>
    <xf numFmtId="1" fontId="0" fillId="0" borderId="0" xfId="0" applyNumberFormat="1" applyFill="1" applyAlignment="1">
      <alignment horizontal="center"/>
    </xf>
    <xf numFmtId="0" fontId="0" fillId="0" borderId="0" xfId="0" applyFill="1"/>
    <xf numFmtId="0" fontId="14" fillId="0" borderId="0" xfId="0" applyFont="1" applyFill="1"/>
    <xf numFmtId="0" fontId="17" fillId="0" borderId="0" xfId="0" applyFont="1" applyFill="1"/>
    <xf numFmtId="164" fontId="14" fillId="0" borderId="0" xfId="0" applyNumberFormat="1" applyFont="1" applyFill="1"/>
    <xf numFmtId="0" fontId="14" fillId="0" borderId="0" xfId="0" applyFont="1" applyFill="1" applyAlignment="1">
      <alignment horizontal="left"/>
    </xf>
    <xf numFmtId="0" fontId="9" fillId="0" borderId="0" xfId="0" applyFont="1" applyFill="1"/>
    <xf numFmtId="164" fontId="9" fillId="0" borderId="0" xfId="4" applyNumberFormat="1" applyFont="1" applyFill="1"/>
    <xf numFmtId="0" fontId="17" fillId="0" borderId="0" xfId="0" applyFont="1" applyFill="1" applyAlignment="1">
      <alignment horizontal="center"/>
    </xf>
    <xf numFmtId="14" fontId="17" fillId="0" borderId="0" xfId="0" applyNumberFormat="1" applyFont="1" applyFill="1" applyAlignment="1">
      <alignment horizontal="center"/>
    </xf>
    <xf numFmtId="49" fontId="17" fillId="0" borderId="0" xfId="0" applyNumberFormat="1" applyFont="1" applyFill="1" applyAlignment="1">
      <alignment horizontal="center"/>
    </xf>
    <xf numFmtId="0" fontId="0" fillId="0" borderId="0" xfId="0" applyFill="1" applyBorder="1"/>
    <xf numFmtId="14" fontId="2" fillId="0" borderId="0" xfId="1" applyNumberFormat="1" applyFill="1" applyBorder="1" applyAlignment="1">
      <alignment horizontal="center"/>
    </xf>
    <xf numFmtId="0" fontId="2" fillId="0" borderId="0" xfId="1" applyFill="1" applyBorder="1" applyAlignment="1">
      <alignment horizontal="center"/>
    </xf>
    <xf numFmtId="0" fontId="0" fillId="0" borderId="0" xfId="0" applyFill="1" applyBorder="1" applyAlignment="1">
      <alignment horizontal="center"/>
    </xf>
    <xf numFmtId="14" fontId="0" fillId="0" borderId="0" xfId="0" applyNumberFormat="1" applyFill="1" applyBorder="1" applyAlignment="1">
      <alignment horizontal="center"/>
    </xf>
    <xf numFmtId="0" fontId="0" fillId="0" borderId="0" xfId="0" applyFill="1" applyBorder="1" applyAlignment="1">
      <alignment horizontal="left"/>
    </xf>
    <xf numFmtId="166" fontId="7" fillId="0" borderId="0" xfId="0" applyNumberFormat="1" applyFont="1" applyFill="1" applyBorder="1" applyAlignment="1">
      <alignment horizontal="center"/>
    </xf>
    <xf numFmtId="14" fontId="6" fillId="0" borderId="0" xfId="0" applyNumberFormat="1" applyFont="1" applyFill="1" applyBorder="1" applyAlignment="1">
      <alignment horizontal="center"/>
    </xf>
    <xf numFmtId="0" fontId="6" fillId="0" borderId="0" xfId="0" applyFont="1" applyFill="1" applyBorder="1" applyAlignment="1">
      <alignment horizontal="center"/>
    </xf>
    <xf numFmtId="165" fontId="6" fillId="0" borderId="0" xfId="0" applyNumberFormat="1" applyFont="1" applyFill="1" applyBorder="1" applyAlignment="1">
      <alignment horizontal="center"/>
    </xf>
    <xf numFmtId="1" fontId="0" fillId="0" borderId="0" xfId="0" applyNumberFormat="1" applyFill="1" applyBorder="1" applyAlignment="1">
      <alignment horizontal="center"/>
    </xf>
    <xf numFmtId="0" fontId="0" fillId="0" borderId="0" xfId="0" applyFill="1" applyBorder="1" applyAlignment="1">
      <alignment horizontal="right"/>
    </xf>
    <xf numFmtId="0" fontId="9" fillId="0" borderId="0" xfId="0" applyFont="1" applyFill="1" applyBorder="1" applyAlignment="1">
      <alignment horizontal="center"/>
    </xf>
    <xf numFmtId="0" fontId="16" fillId="0" borderId="0" xfId="2" applyFont="1" applyBorder="1" applyAlignment="1">
      <alignment horizontal="center" wrapText="1"/>
    </xf>
    <xf numFmtId="14" fontId="16" fillId="0" borderId="0" xfId="2" applyNumberFormat="1" applyFont="1" applyBorder="1" applyAlignment="1">
      <alignment horizontal="center" wrapText="1"/>
    </xf>
    <xf numFmtId="166" fontId="16" fillId="0" borderId="0" xfId="2" applyNumberFormat="1" applyFont="1" applyBorder="1" applyAlignment="1">
      <alignment horizontal="center" wrapText="1"/>
    </xf>
    <xf numFmtId="0" fontId="16" fillId="0" borderId="0" xfId="2" applyFont="1" applyBorder="1" applyAlignment="1">
      <alignment horizontal="left" wrapText="1"/>
    </xf>
    <xf numFmtId="0" fontId="13" fillId="0" borderId="0" xfId="0" applyFont="1" applyFill="1" applyBorder="1" applyAlignment="1">
      <alignment horizontal="center"/>
    </xf>
    <xf numFmtId="14" fontId="13" fillId="0" borderId="0" xfId="0" applyNumberFormat="1" applyFont="1" applyBorder="1" applyAlignment="1">
      <alignment horizontal="center"/>
    </xf>
    <xf numFmtId="1" fontId="13" fillId="0" borderId="0" xfId="0" applyNumberFormat="1" applyFont="1" applyBorder="1" applyAlignment="1">
      <alignment horizontal="center"/>
    </xf>
    <xf numFmtId="0" fontId="13" fillId="0" borderId="0" xfId="0" applyFont="1" applyBorder="1" applyAlignment="1">
      <alignment horizontal="center"/>
    </xf>
    <xf numFmtId="20" fontId="13" fillId="0" borderId="0" xfId="0" applyNumberFormat="1" applyFont="1" applyBorder="1" applyAlignment="1">
      <alignment horizontal="center"/>
    </xf>
    <xf numFmtId="0" fontId="13" fillId="0" borderId="0" xfId="0" applyFont="1" applyBorder="1" applyAlignment="1">
      <alignment horizontal="left"/>
    </xf>
    <xf numFmtId="20" fontId="13" fillId="0" borderId="0" xfId="0" applyNumberFormat="1" applyFont="1" applyFill="1" applyBorder="1" applyAlignment="1">
      <alignment horizontal="center"/>
    </xf>
    <xf numFmtId="0" fontId="13" fillId="0" borderId="0" xfId="0" applyFont="1" applyFill="1" applyBorder="1" applyAlignment="1">
      <alignment horizontal="left"/>
    </xf>
    <xf numFmtId="1" fontId="13" fillId="0" borderId="0" xfId="0" applyNumberFormat="1" applyFont="1" applyFill="1" applyBorder="1" applyAlignment="1">
      <alignment horizontal="center"/>
    </xf>
    <xf numFmtId="14" fontId="14" fillId="0" borderId="0" xfId="7" applyNumberFormat="1" applyFont="1" applyFill="1" applyBorder="1" applyAlignment="1" applyProtection="1">
      <alignment horizontal="center"/>
    </xf>
    <xf numFmtId="0" fontId="14" fillId="0" borderId="0" xfId="0" applyFont="1" applyFill="1" applyBorder="1" applyAlignment="1">
      <alignment horizontal="center"/>
    </xf>
    <xf numFmtId="0" fontId="14" fillId="0" borderId="0" xfId="0" applyFont="1" applyBorder="1" applyAlignment="1">
      <alignment horizontal="center"/>
    </xf>
    <xf numFmtId="14" fontId="13" fillId="0" borderId="0" xfId="0" applyNumberFormat="1" applyFont="1" applyFill="1" applyBorder="1" applyAlignment="1">
      <alignment horizontal="center"/>
    </xf>
    <xf numFmtId="0" fontId="13" fillId="0" borderId="0" xfId="0" applyFont="1"/>
    <xf numFmtId="22" fontId="13" fillId="0" borderId="0" xfId="0" applyNumberFormat="1" applyFont="1"/>
    <xf numFmtId="0" fontId="13" fillId="0" borderId="0" xfId="0" applyFont="1" applyAlignment="1">
      <alignment horizontal="left"/>
    </xf>
    <xf numFmtId="14" fontId="20" fillId="0" borderId="0" xfId="1" applyNumberFormat="1" applyFont="1" applyFill="1" applyBorder="1" applyAlignment="1">
      <alignment horizontal="center"/>
    </xf>
    <xf numFmtId="0" fontId="20" fillId="0" borderId="0" xfId="1" applyFont="1" applyFill="1" applyBorder="1" applyAlignment="1">
      <alignment horizontal="center"/>
    </xf>
    <xf numFmtId="166" fontId="14" fillId="0" borderId="0" xfId="0" applyNumberFormat="1" applyFont="1" applyFill="1" applyBorder="1" applyAlignment="1">
      <alignment horizontal="center"/>
    </xf>
    <xf numFmtId="14" fontId="11" fillId="0" borderId="0" xfId="0" applyNumberFormat="1" applyFont="1" applyFill="1" applyBorder="1" applyAlignment="1">
      <alignment horizontal="center" wrapText="1"/>
    </xf>
    <xf numFmtId="0" fontId="11" fillId="0" borderId="0" xfId="0" applyFont="1" applyFill="1" applyBorder="1" applyAlignment="1">
      <alignment horizontal="center" wrapText="1"/>
    </xf>
    <xf numFmtId="165" fontId="11" fillId="0" borderId="0" xfId="0" applyNumberFormat="1" applyFont="1" applyFill="1" applyBorder="1" applyAlignment="1">
      <alignment horizontal="center" wrapText="1"/>
    </xf>
    <xf numFmtId="0" fontId="13" fillId="0" borderId="0" xfId="0" applyFont="1" applyAlignment="1">
      <alignment horizontal="center"/>
    </xf>
    <xf numFmtId="2" fontId="13" fillId="0" borderId="0" xfId="0" applyNumberFormat="1" applyFont="1" applyFill="1" applyBorder="1" applyAlignment="1">
      <alignment horizontal="center"/>
    </xf>
    <xf numFmtId="14" fontId="13" fillId="0" borderId="0" xfId="0" applyNumberFormat="1" applyFont="1" applyAlignment="1">
      <alignment horizontal="center"/>
    </xf>
    <xf numFmtId="1" fontId="13" fillId="0" borderId="0" xfId="0" applyNumberFormat="1" applyFont="1" applyAlignment="1">
      <alignment horizontal="center"/>
    </xf>
    <xf numFmtId="0" fontId="13" fillId="0" borderId="0" xfId="0" applyFont="1" applyFill="1" applyAlignment="1">
      <alignment horizontal="left"/>
    </xf>
    <xf numFmtId="1" fontId="13" fillId="0" borderId="0" xfId="0" applyNumberFormat="1" applyFont="1" applyFill="1" applyAlignment="1">
      <alignment horizontal="left"/>
    </xf>
    <xf numFmtId="0" fontId="14" fillId="0" borderId="0" xfId="7" applyFont="1" applyFill="1" applyBorder="1" applyAlignment="1" applyProtection="1">
      <alignment horizontal="center"/>
    </xf>
    <xf numFmtId="21" fontId="14" fillId="0" borderId="0" xfId="7" applyNumberFormat="1" applyFont="1" applyFill="1" applyBorder="1" applyAlignment="1" applyProtection="1">
      <alignment horizontal="center"/>
    </xf>
    <xf numFmtId="0" fontId="14" fillId="0" borderId="0" xfId="7" applyFont="1" applyFill="1" applyBorder="1" applyAlignment="1" applyProtection="1">
      <alignment horizontal="left" wrapText="1"/>
    </xf>
    <xf numFmtId="0" fontId="20" fillId="0" borderId="0" xfId="2" applyFont="1" applyFill="1" applyBorder="1" applyAlignment="1">
      <alignment horizontal="center"/>
    </xf>
    <xf numFmtId="20" fontId="13" fillId="0" borderId="0" xfId="0" applyNumberFormat="1" applyFont="1" applyAlignment="1">
      <alignment horizontal="center"/>
    </xf>
    <xf numFmtId="0" fontId="21" fillId="0" borderId="0" xfId="0" applyFont="1" applyFill="1" applyAlignment="1">
      <alignment horizontal="center"/>
    </xf>
    <xf numFmtId="20" fontId="13" fillId="0" borderId="0" xfId="0" applyNumberFormat="1" applyFont="1" applyFill="1" applyAlignment="1">
      <alignment horizontal="center"/>
    </xf>
    <xf numFmtId="14" fontId="13" fillId="0" borderId="0" xfId="0" applyNumberFormat="1" applyFont="1"/>
    <xf numFmtId="1" fontId="13" fillId="0" borderId="0" xfId="0" applyNumberFormat="1" applyFont="1"/>
    <xf numFmtId="0" fontId="14" fillId="0" borderId="0" xfId="2" applyFont="1" applyBorder="1"/>
    <xf numFmtId="0" fontId="20" fillId="0" borderId="0" xfId="2" applyFont="1" applyBorder="1"/>
    <xf numFmtId="14" fontId="14" fillId="0" borderId="0" xfId="0" applyNumberFormat="1" applyFont="1"/>
    <xf numFmtId="166" fontId="14" fillId="0" borderId="0" xfId="0" applyNumberFormat="1" applyFont="1"/>
    <xf numFmtId="19" fontId="14" fillId="0" borderId="0" xfId="0" applyNumberFormat="1" applyFont="1"/>
    <xf numFmtId="19" fontId="13" fillId="0" borderId="0" xfId="0" applyNumberFormat="1" applyFont="1"/>
    <xf numFmtId="18" fontId="14" fillId="0" borderId="0" xfId="0" applyNumberFormat="1" applyFont="1"/>
    <xf numFmtId="21" fontId="14" fillId="0" borderId="0" xfId="0" applyNumberFormat="1" applyFont="1"/>
    <xf numFmtId="14" fontId="20" fillId="0" borderId="0" xfId="1" applyNumberFormat="1" applyFont="1" applyFill="1" applyBorder="1"/>
    <xf numFmtId="0" fontId="20" fillId="0" borderId="0" xfId="1" applyFont="1" applyFill="1" applyBorder="1"/>
    <xf numFmtId="0" fontId="13" fillId="0" borderId="0" xfId="0" applyFont="1" applyFill="1"/>
    <xf numFmtId="166" fontId="14" fillId="0" borderId="0" xfId="0" applyNumberFormat="1" applyFont="1" applyFill="1"/>
    <xf numFmtId="14" fontId="11" fillId="0" borderId="0" xfId="0" applyNumberFormat="1" applyFont="1" applyFill="1" applyBorder="1"/>
    <xf numFmtId="0" fontId="11" fillId="0" borderId="0" xfId="0" applyFont="1" applyFill="1" applyBorder="1"/>
    <xf numFmtId="165" fontId="11" fillId="0" borderId="0" xfId="0" applyNumberFormat="1" applyFont="1" applyFill="1" applyBorder="1" applyAlignment="1">
      <alignment horizontal="left"/>
    </xf>
    <xf numFmtId="0" fontId="16" fillId="0" borderId="0" xfId="2" applyFont="1" applyBorder="1"/>
    <xf numFmtId="14" fontId="13" fillId="0" borderId="0" xfId="0" applyNumberFormat="1" applyFont="1" applyFill="1"/>
    <xf numFmtId="49" fontId="13" fillId="0" borderId="0" xfId="0" applyNumberFormat="1" applyFont="1" applyFill="1"/>
    <xf numFmtId="166" fontId="13" fillId="0" borderId="0" xfId="0" applyNumberFormat="1" applyFont="1" applyFill="1" applyAlignment="1">
      <alignment horizontal="left"/>
    </xf>
    <xf numFmtId="21" fontId="14" fillId="0" borderId="0" xfId="4" applyNumberFormat="1" applyFont="1" applyFill="1"/>
    <xf numFmtId="0" fontId="14" fillId="0" borderId="0" xfId="4" applyFont="1" applyFill="1"/>
    <xf numFmtId="49" fontId="14" fillId="0" borderId="0" xfId="4" applyNumberFormat="1" applyFont="1" applyFill="1"/>
    <xf numFmtId="166" fontId="14" fillId="0" borderId="0" xfId="4" applyNumberFormat="1" applyFont="1" applyFill="1" applyAlignment="1">
      <alignment horizontal="left"/>
    </xf>
    <xf numFmtId="0" fontId="13" fillId="0" borderId="0" xfId="0" applyFont="1" applyFill="1" applyBorder="1"/>
    <xf numFmtId="0" fontId="14" fillId="0" borderId="0" xfId="3" applyFont="1" applyFill="1" applyBorder="1" applyAlignment="1">
      <alignment horizontal="center"/>
    </xf>
    <xf numFmtId="14" fontId="14" fillId="0" borderId="0" xfId="3" applyNumberFormat="1" applyFont="1" applyFill="1" applyBorder="1" applyAlignment="1">
      <alignment horizontal="center"/>
    </xf>
    <xf numFmtId="1" fontId="14" fillId="0" borderId="0" xfId="3" applyNumberFormat="1" applyFont="1" applyFill="1" applyBorder="1" applyAlignment="1">
      <alignment horizontal="center"/>
    </xf>
    <xf numFmtId="168" fontId="14" fillId="0" borderId="0" xfId="3" applyNumberFormat="1" applyFont="1" applyFill="1" applyBorder="1" applyAlignment="1">
      <alignment horizontal="center"/>
    </xf>
    <xf numFmtId="2" fontId="14" fillId="0" borderId="0" xfId="3" applyNumberFormat="1" applyFont="1" applyFill="1" applyBorder="1" applyAlignment="1">
      <alignment horizontal="center"/>
    </xf>
    <xf numFmtId="20" fontId="14" fillId="0" borderId="0" xfId="3" applyNumberFormat="1" applyFont="1" applyFill="1" applyBorder="1" applyAlignment="1">
      <alignment horizontal="center"/>
    </xf>
    <xf numFmtId="0" fontId="14" fillId="0" borderId="0" xfId="3" applyFont="1" applyFill="1" applyAlignment="1">
      <alignment horizontal="center"/>
    </xf>
    <xf numFmtId="0" fontId="10" fillId="0" borderId="0" xfId="0" applyFont="1" applyFill="1" applyBorder="1" applyAlignment="1">
      <alignment horizontal="center"/>
    </xf>
    <xf numFmtId="1" fontId="14" fillId="0" borderId="0" xfId="0" applyNumberFormat="1" applyFont="1" applyFill="1" applyBorder="1" applyAlignment="1">
      <alignment horizontal="center"/>
    </xf>
    <xf numFmtId="167" fontId="14" fillId="0" borderId="0" xfId="0" applyNumberFormat="1" applyFont="1" applyFill="1" applyBorder="1" applyAlignment="1">
      <alignment horizontal="center"/>
    </xf>
    <xf numFmtId="2" fontId="14" fillId="0" borderId="0" xfId="0" applyNumberFormat="1" applyFont="1" applyFill="1" applyBorder="1" applyAlignment="1">
      <alignment horizontal="center"/>
    </xf>
    <xf numFmtId="165" fontId="14" fillId="0" borderId="0" xfId="0" applyNumberFormat="1" applyFont="1" applyFill="1" applyBorder="1" applyAlignment="1">
      <alignment horizontal="center"/>
    </xf>
    <xf numFmtId="0" fontId="13" fillId="0" borderId="0" xfId="0" applyFont="1" applyBorder="1"/>
    <xf numFmtId="165" fontId="13" fillId="0" borderId="0" xfId="0" applyNumberFormat="1" applyFont="1" applyBorder="1" applyAlignment="1">
      <alignment horizontal="center"/>
    </xf>
    <xf numFmtId="165" fontId="13" fillId="0" borderId="0" xfId="0" applyNumberFormat="1" applyFont="1"/>
    <xf numFmtId="165" fontId="14" fillId="0" borderId="0" xfId="0" applyNumberFormat="1" applyFont="1"/>
    <xf numFmtId="0" fontId="7" fillId="0" borderId="0" xfId="0" applyFont="1" applyFill="1" applyBorder="1"/>
    <xf numFmtId="0" fontId="13" fillId="0" borderId="0" xfId="0" applyFont="1" applyAlignment="1" applyProtection="1">
      <alignment horizontal="center"/>
      <protection locked="0"/>
    </xf>
    <xf numFmtId="14" fontId="13" fillId="0" borderId="0" xfId="0" applyNumberFormat="1" applyFont="1" applyAlignment="1" applyProtection="1">
      <alignment horizontal="center"/>
      <protection locked="0"/>
    </xf>
    <xf numFmtId="165" fontId="13" fillId="0" borderId="0" xfId="0" applyNumberFormat="1" applyFont="1" applyAlignment="1" applyProtection="1">
      <alignment horizontal="center"/>
      <protection locked="0"/>
    </xf>
    <xf numFmtId="20" fontId="13" fillId="0" borderId="0" xfId="0" applyNumberFormat="1" applyFont="1" applyAlignment="1" applyProtection="1">
      <alignment horizontal="center"/>
      <protection locked="0"/>
    </xf>
    <xf numFmtId="165" fontId="14" fillId="0" borderId="0" xfId="0" applyNumberFormat="1" applyFont="1" applyAlignment="1" applyProtection="1">
      <alignment horizontal="center"/>
      <protection locked="0"/>
    </xf>
    <xf numFmtId="49" fontId="13" fillId="0" borderId="0" xfId="0" applyNumberFormat="1" applyFont="1" applyAlignment="1" applyProtection="1">
      <alignment horizontal="center"/>
      <protection locked="0"/>
    </xf>
    <xf numFmtId="164" fontId="14" fillId="0" borderId="0" xfId="0" applyNumberFormat="1" applyFont="1" applyAlignment="1" applyProtection="1">
      <alignment horizontal="center"/>
      <protection locked="0"/>
    </xf>
    <xf numFmtId="0" fontId="9" fillId="0" borderId="0" xfId="0" applyFont="1" applyFill="1" applyBorder="1"/>
    <xf numFmtId="0" fontId="8" fillId="0" borderId="0" xfId="0" applyFont="1" applyFill="1" applyBorder="1" applyAlignment="1"/>
    <xf numFmtId="0" fontId="7" fillId="0" borderId="0" xfId="0" applyFont="1" applyFill="1" applyBorder="1" applyAlignment="1"/>
    <xf numFmtId="22" fontId="13" fillId="0" borderId="0" xfId="0" applyNumberFormat="1" applyFont="1" applyFill="1"/>
    <xf numFmtId="0" fontId="14" fillId="0" borderId="0" xfId="2" applyFont="1" applyFill="1" applyBorder="1" applyAlignment="1">
      <alignment horizontal="center"/>
    </xf>
    <xf numFmtId="14" fontId="14" fillId="0" borderId="0" xfId="2" applyNumberFormat="1" applyFont="1" applyFill="1" applyBorder="1" applyAlignment="1">
      <alignment horizontal="center"/>
    </xf>
    <xf numFmtId="166" fontId="14" fillId="0" borderId="0" xfId="2" applyNumberFormat="1" applyFont="1" applyFill="1" applyBorder="1" applyAlignment="1">
      <alignment horizontal="center"/>
    </xf>
    <xf numFmtId="0" fontId="14" fillId="0" borderId="0" xfId="2" applyFont="1" applyFill="1" applyBorder="1" applyAlignment="1">
      <alignment horizontal="left"/>
    </xf>
    <xf numFmtId="0" fontId="9" fillId="0" borderId="0" xfId="0" applyFont="1"/>
    <xf numFmtId="14" fontId="17" fillId="0" borderId="0" xfId="0" applyNumberFormat="1" applyFont="1"/>
    <xf numFmtId="166" fontId="17" fillId="0" borderId="0" xfId="0" applyNumberFormat="1" applyFont="1"/>
    <xf numFmtId="0" fontId="9" fillId="0" borderId="0" xfId="0" applyFont="1" applyAlignment="1">
      <alignment horizontal="left"/>
    </xf>
    <xf numFmtId="22" fontId="17" fillId="0" borderId="0" xfId="0" applyNumberFormat="1" applyFont="1"/>
    <xf numFmtId="14" fontId="9" fillId="0" borderId="0" xfId="0" applyNumberFormat="1" applyFont="1" applyFill="1" applyBorder="1" applyAlignment="1">
      <alignment horizontal="center"/>
    </xf>
    <xf numFmtId="19" fontId="17" fillId="0" borderId="0" xfId="0" applyNumberFormat="1" applyFont="1"/>
    <xf numFmtId="166" fontId="17" fillId="0" borderId="0" xfId="0" applyNumberFormat="1" applyFont="1" applyAlignment="1">
      <alignment horizontal="right"/>
    </xf>
  </cellXfs>
  <cellStyles count="12">
    <cellStyle name="Bad" xfId="4" builtinId="27"/>
    <cellStyle name="Good" xfId="3" builtinId="26"/>
    <cellStyle name="Heading 1" xfId="1" builtinId="16"/>
    <cellStyle name="Heading 2" xfId="2" builtinId="17"/>
    <cellStyle name="Normal" xfId="0" builtinId="0"/>
    <cellStyle name="Normal 109" xfId="9" xr:uid="{77B7458D-9367-4C3E-9F00-91680808497F}"/>
    <cellStyle name="Normal 110" xfId="10" xr:uid="{866C34D6-CE80-471A-A2D8-583B01DDB521}"/>
    <cellStyle name="Normal 111" xfId="11" xr:uid="{240CE018-5939-4317-B6E8-84208894B81D}"/>
    <cellStyle name="Normal 15" xfId="8" xr:uid="{375AA8D1-B03A-477F-96FA-03A4173D538C}"/>
    <cellStyle name="Normal 2" xfId="5" xr:uid="{C958D335-12A6-4AE8-98DF-74FA68FFFBAD}"/>
    <cellStyle name="Normal 4" xfId="6" xr:uid="{D91C0D88-7ABB-4C3E-8A81-1D26F8BCFB80}"/>
    <cellStyle name="Normal 5" xfId="7" xr:uid="{457A1E62-7A35-4DF3-9868-B2F5C7A6D39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84B5F-1423-4869-A5A8-4F6FCC078E65}">
  <dimension ref="A1:I25"/>
  <sheetViews>
    <sheetView zoomScale="80" zoomScaleNormal="80" workbookViewId="0">
      <selection activeCell="B25" sqref="B25"/>
    </sheetView>
  </sheetViews>
  <sheetFormatPr defaultColWidth="8.7109375" defaultRowHeight="15" x14ac:dyDescent="0.25"/>
  <cols>
    <col min="1" max="2" width="8.7109375" style="39"/>
    <col min="3" max="3" width="11.7109375" style="39" bestFit="1" customWidth="1"/>
    <col min="4" max="4" width="21.5703125" style="39" bestFit="1" customWidth="1"/>
    <col min="5" max="5" width="10.5703125" style="39" customWidth="1"/>
    <col min="6" max="6" width="11.140625" style="39" customWidth="1"/>
    <col min="7" max="7" width="22" style="39" customWidth="1"/>
    <col min="8" max="8" width="181.85546875" style="39" customWidth="1"/>
    <col min="9" max="16384" width="8.7109375" style="39"/>
  </cols>
  <sheetData>
    <row r="1" spans="1:9" ht="15.75" x14ac:dyDescent="0.25">
      <c r="A1" s="36" t="s">
        <v>0</v>
      </c>
      <c r="B1" s="36"/>
      <c r="C1" s="37"/>
      <c r="D1" s="37"/>
      <c r="E1" s="37"/>
      <c r="F1" s="37"/>
      <c r="G1" s="37"/>
    </row>
    <row r="2" spans="1:9" ht="15.75" x14ac:dyDescent="0.25">
      <c r="A2" s="37" t="s">
        <v>1</v>
      </c>
      <c r="B2" s="37"/>
      <c r="C2" s="37"/>
      <c r="D2" s="37"/>
      <c r="E2" s="37" t="s">
        <v>2</v>
      </c>
      <c r="F2" s="37"/>
      <c r="G2" s="37" t="s">
        <v>3</v>
      </c>
    </row>
    <row r="3" spans="1:9" ht="15.75" x14ac:dyDescent="0.25">
      <c r="A3" s="40"/>
      <c r="B3" s="40"/>
      <c r="C3" s="40"/>
      <c r="D3" s="40"/>
      <c r="E3" s="38"/>
      <c r="F3" s="38"/>
      <c r="G3" s="38"/>
    </row>
    <row r="4" spans="1:9" ht="15.75" x14ac:dyDescent="0.25">
      <c r="A4" s="21" t="s">
        <v>4</v>
      </c>
      <c r="B4" s="21" t="s">
        <v>601</v>
      </c>
      <c r="C4" s="41" t="s">
        <v>5</v>
      </c>
      <c r="D4" s="42" t="s">
        <v>6</v>
      </c>
      <c r="E4" s="21" t="s">
        <v>7</v>
      </c>
      <c r="F4" s="21" t="s">
        <v>8</v>
      </c>
      <c r="G4" s="38" t="s">
        <v>9</v>
      </c>
      <c r="H4" s="38" t="s">
        <v>43</v>
      </c>
      <c r="I4" s="38" t="s">
        <v>44</v>
      </c>
    </row>
    <row r="5" spans="1:9" ht="15.75" x14ac:dyDescent="0.25">
      <c r="A5" s="21">
        <v>1</v>
      </c>
      <c r="B5" s="21">
        <v>1</v>
      </c>
      <c r="C5" s="41">
        <v>37123</v>
      </c>
      <c r="D5" s="21" t="s">
        <v>13</v>
      </c>
      <c r="E5" s="21">
        <v>1</v>
      </c>
      <c r="F5" s="21" t="s">
        <v>14</v>
      </c>
      <c r="G5" s="21" t="s">
        <v>11</v>
      </c>
      <c r="H5" s="42" t="s">
        <v>45</v>
      </c>
      <c r="I5" s="42" t="s">
        <v>46</v>
      </c>
    </row>
    <row r="6" spans="1:9" ht="15.75" x14ac:dyDescent="0.25">
      <c r="A6" s="21">
        <v>2</v>
      </c>
      <c r="B6" s="21">
        <v>1</v>
      </c>
      <c r="C6" s="41">
        <v>37124</v>
      </c>
      <c r="D6" s="21" t="s">
        <v>15</v>
      </c>
      <c r="E6" s="21">
        <v>3</v>
      </c>
      <c r="F6" s="21" t="s">
        <v>16</v>
      </c>
      <c r="G6" s="21" t="s">
        <v>10</v>
      </c>
      <c r="H6" s="42" t="s">
        <v>47</v>
      </c>
      <c r="I6" s="42"/>
    </row>
    <row r="7" spans="1:9" ht="15.75" x14ac:dyDescent="0.25">
      <c r="A7" s="21">
        <v>3</v>
      </c>
      <c r="B7" s="21">
        <v>1</v>
      </c>
      <c r="C7" s="41">
        <v>37125</v>
      </c>
      <c r="D7" s="21" t="s">
        <v>17</v>
      </c>
      <c r="E7" s="21">
        <v>2</v>
      </c>
      <c r="F7" s="21" t="s">
        <v>18</v>
      </c>
      <c r="G7" s="21" t="s">
        <v>11</v>
      </c>
      <c r="H7" s="42" t="s">
        <v>48</v>
      </c>
      <c r="I7" s="42"/>
    </row>
    <row r="8" spans="1:9" ht="15.75" x14ac:dyDescent="0.25">
      <c r="A8" s="21">
        <v>4</v>
      </c>
      <c r="B8" s="21">
        <v>1</v>
      </c>
      <c r="C8" s="41">
        <v>37126</v>
      </c>
      <c r="D8" s="21" t="s">
        <v>19</v>
      </c>
      <c r="E8" s="21">
        <v>4</v>
      </c>
      <c r="F8" s="21" t="s">
        <v>20</v>
      </c>
      <c r="G8" s="21" t="s">
        <v>11</v>
      </c>
      <c r="H8" s="42" t="s">
        <v>49</v>
      </c>
      <c r="I8" s="42"/>
    </row>
    <row r="9" spans="1:9" ht="15.75" x14ac:dyDescent="0.25">
      <c r="A9" s="21">
        <v>5</v>
      </c>
      <c r="B9" s="21">
        <v>1</v>
      </c>
      <c r="C9" s="43">
        <v>37130</v>
      </c>
      <c r="D9" s="21" t="s">
        <v>21</v>
      </c>
      <c r="E9" s="21">
        <v>5</v>
      </c>
      <c r="F9" s="21" t="s">
        <v>20</v>
      </c>
      <c r="G9" s="21" t="s">
        <v>11</v>
      </c>
      <c r="H9" s="42" t="s">
        <v>50</v>
      </c>
      <c r="I9" s="42"/>
    </row>
    <row r="10" spans="1:9" ht="15.75" x14ac:dyDescent="0.25">
      <c r="A10" s="21">
        <v>6</v>
      </c>
      <c r="B10" s="21">
        <v>1</v>
      </c>
      <c r="C10" s="41">
        <v>37131</v>
      </c>
      <c r="D10" s="21" t="s">
        <v>22</v>
      </c>
      <c r="E10" s="21">
        <v>6</v>
      </c>
      <c r="F10" s="21" t="s">
        <v>23</v>
      </c>
      <c r="G10" s="21" t="s">
        <v>11</v>
      </c>
      <c r="H10" s="42" t="s">
        <v>51</v>
      </c>
      <c r="I10" s="42"/>
    </row>
    <row r="11" spans="1:9" ht="15.75" x14ac:dyDescent="0.25">
      <c r="A11" s="21">
        <v>7</v>
      </c>
      <c r="B11" s="21">
        <v>1</v>
      </c>
      <c r="C11" s="41">
        <v>37132</v>
      </c>
      <c r="D11" s="21" t="s">
        <v>24</v>
      </c>
      <c r="E11" s="21">
        <v>7</v>
      </c>
      <c r="F11" s="21" t="s">
        <v>25</v>
      </c>
      <c r="G11" s="21" t="s">
        <v>11</v>
      </c>
      <c r="H11" s="42" t="s">
        <v>52</v>
      </c>
      <c r="I11" s="42" t="s">
        <v>53</v>
      </c>
    </row>
    <row r="12" spans="1:9" ht="15.75" x14ac:dyDescent="0.25">
      <c r="A12" s="21">
        <v>8</v>
      </c>
      <c r="B12" s="21">
        <v>2</v>
      </c>
      <c r="C12" s="41">
        <v>37151</v>
      </c>
      <c r="D12" s="21" t="s">
        <v>12</v>
      </c>
      <c r="E12" s="21">
        <v>1</v>
      </c>
      <c r="F12" s="21" t="s">
        <v>26</v>
      </c>
      <c r="G12" s="21" t="s">
        <v>11</v>
      </c>
      <c r="H12" s="42" t="s">
        <v>54</v>
      </c>
      <c r="I12" s="42"/>
    </row>
    <row r="13" spans="1:9" ht="15.75" x14ac:dyDescent="0.25">
      <c r="A13" s="21">
        <v>9</v>
      </c>
      <c r="B13" s="21">
        <v>2</v>
      </c>
      <c r="C13" s="41">
        <v>37152</v>
      </c>
      <c r="D13" s="21" t="s">
        <v>27</v>
      </c>
      <c r="E13" s="21">
        <v>2</v>
      </c>
      <c r="F13" s="21" t="s">
        <v>28</v>
      </c>
      <c r="G13" s="21" t="s">
        <v>11</v>
      </c>
      <c r="H13" s="42" t="s">
        <v>55</v>
      </c>
      <c r="I13" s="42"/>
    </row>
    <row r="14" spans="1:9" ht="15.75" x14ac:dyDescent="0.25">
      <c r="A14" s="21">
        <v>10</v>
      </c>
      <c r="B14" s="21">
        <v>2</v>
      </c>
      <c r="C14" s="41">
        <v>37152</v>
      </c>
      <c r="D14" s="21" t="s">
        <v>29</v>
      </c>
      <c r="E14" s="21">
        <v>3</v>
      </c>
      <c r="F14" s="21" t="s">
        <v>16</v>
      </c>
      <c r="G14" s="21" t="s">
        <v>10</v>
      </c>
      <c r="H14" s="42" t="s">
        <v>56</v>
      </c>
      <c r="I14" s="42" t="s">
        <v>57</v>
      </c>
    </row>
    <row r="15" spans="1:9" ht="15.75" x14ac:dyDescent="0.25">
      <c r="A15" s="21">
        <v>11</v>
      </c>
      <c r="B15" s="21">
        <v>2</v>
      </c>
      <c r="C15" s="41">
        <v>37153</v>
      </c>
      <c r="D15" s="21" t="s">
        <v>30</v>
      </c>
      <c r="E15" s="21">
        <v>4</v>
      </c>
      <c r="F15" s="21" t="s">
        <v>31</v>
      </c>
      <c r="G15" s="21" t="s">
        <v>11</v>
      </c>
      <c r="H15" s="42" t="s">
        <v>58</v>
      </c>
      <c r="I15" s="42" t="s">
        <v>59</v>
      </c>
    </row>
    <row r="16" spans="1:9" ht="15.75" x14ac:dyDescent="0.25">
      <c r="A16" s="21">
        <v>12</v>
      </c>
      <c r="B16" s="21">
        <v>2</v>
      </c>
      <c r="C16" s="41">
        <v>37154</v>
      </c>
      <c r="D16" s="21" t="s">
        <v>32</v>
      </c>
      <c r="E16" s="21">
        <v>5</v>
      </c>
      <c r="F16" s="21" t="s">
        <v>33</v>
      </c>
      <c r="G16" s="21" t="s">
        <v>11</v>
      </c>
      <c r="H16" s="42"/>
      <c r="I16" s="42"/>
    </row>
    <row r="17" spans="1:9" ht="15.75" x14ac:dyDescent="0.25">
      <c r="A17" s="21">
        <v>13</v>
      </c>
      <c r="B17" s="21">
        <v>2</v>
      </c>
      <c r="C17" s="41">
        <v>37155</v>
      </c>
      <c r="D17" s="21" t="s">
        <v>34</v>
      </c>
      <c r="E17" s="21">
        <v>6</v>
      </c>
      <c r="F17" s="21" t="s">
        <v>35</v>
      </c>
      <c r="G17" s="21" t="s">
        <v>11</v>
      </c>
      <c r="H17" s="42" t="s">
        <v>60</v>
      </c>
      <c r="I17" s="42"/>
    </row>
    <row r="18" spans="1:9" ht="15.75" x14ac:dyDescent="0.25">
      <c r="A18" s="21">
        <v>14</v>
      </c>
      <c r="B18" s="21">
        <v>0</v>
      </c>
      <c r="C18" s="41">
        <v>37167</v>
      </c>
      <c r="D18" s="21" t="s">
        <v>36</v>
      </c>
      <c r="E18" s="21">
        <v>3</v>
      </c>
      <c r="F18" s="21" t="s">
        <v>16</v>
      </c>
      <c r="G18" s="21" t="s">
        <v>10</v>
      </c>
      <c r="H18" s="42" t="s">
        <v>61</v>
      </c>
      <c r="I18" s="42"/>
    </row>
    <row r="19" spans="1:9" ht="15.75" x14ac:dyDescent="0.25">
      <c r="A19" s="21">
        <v>15</v>
      </c>
      <c r="B19" s="21">
        <v>3</v>
      </c>
      <c r="C19" s="41">
        <v>37179</v>
      </c>
      <c r="D19" s="21" t="s">
        <v>37</v>
      </c>
      <c r="E19" s="21">
        <v>1</v>
      </c>
      <c r="F19" s="21" t="s">
        <v>26</v>
      </c>
      <c r="G19" s="21" t="s">
        <v>11</v>
      </c>
      <c r="H19" s="42" t="s">
        <v>62</v>
      </c>
      <c r="I19" s="42" t="s">
        <v>63</v>
      </c>
    </row>
    <row r="20" spans="1:9" ht="15.75" x14ac:dyDescent="0.25">
      <c r="A20" s="21">
        <v>16</v>
      </c>
      <c r="B20" s="21">
        <v>3</v>
      </c>
      <c r="C20" s="41">
        <v>37180</v>
      </c>
      <c r="D20" s="21" t="s">
        <v>15</v>
      </c>
      <c r="E20" s="21">
        <v>3</v>
      </c>
      <c r="F20" s="21" t="s">
        <v>16</v>
      </c>
      <c r="G20" s="21" t="s">
        <v>10</v>
      </c>
      <c r="H20" s="42" t="s">
        <v>64</v>
      </c>
      <c r="I20" s="42"/>
    </row>
    <row r="21" spans="1:9" ht="15.75" x14ac:dyDescent="0.25">
      <c r="A21" s="21">
        <v>17</v>
      </c>
      <c r="B21" s="21">
        <v>3</v>
      </c>
      <c r="C21" s="41">
        <v>37180</v>
      </c>
      <c r="D21" s="21" t="s">
        <v>38</v>
      </c>
      <c r="E21" s="21">
        <v>2</v>
      </c>
      <c r="F21" s="21" t="s">
        <v>16</v>
      </c>
      <c r="G21" s="21" t="s">
        <v>11</v>
      </c>
      <c r="H21" s="42" t="s">
        <v>65</v>
      </c>
      <c r="I21" s="42" t="s">
        <v>66</v>
      </c>
    </row>
    <row r="22" spans="1:9" ht="15.75" x14ac:dyDescent="0.25">
      <c r="A22" s="21">
        <v>18</v>
      </c>
      <c r="B22" s="21">
        <v>3</v>
      </c>
      <c r="C22" s="41">
        <v>37181</v>
      </c>
      <c r="D22" s="21" t="s">
        <v>39</v>
      </c>
      <c r="E22" s="21">
        <v>4</v>
      </c>
      <c r="F22" s="21" t="s">
        <v>31</v>
      </c>
      <c r="G22" s="21" t="s">
        <v>11</v>
      </c>
      <c r="H22" s="42" t="s">
        <v>67</v>
      </c>
      <c r="I22" s="42"/>
    </row>
    <row r="23" spans="1:9" ht="15.75" x14ac:dyDescent="0.25">
      <c r="A23" s="21">
        <v>19</v>
      </c>
      <c r="B23" s="21">
        <v>3</v>
      </c>
      <c r="C23" s="41">
        <v>37182</v>
      </c>
      <c r="D23" s="21" t="s">
        <v>40</v>
      </c>
      <c r="E23" s="21">
        <v>5</v>
      </c>
      <c r="F23" s="21" t="s">
        <v>31</v>
      </c>
      <c r="G23" s="21" t="s">
        <v>11</v>
      </c>
      <c r="H23" s="42" t="s">
        <v>68</v>
      </c>
      <c r="I23" s="42" t="s">
        <v>69</v>
      </c>
    </row>
    <row r="24" spans="1:9" ht="15.75" x14ac:dyDescent="0.25">
      <c r="A24" s="21">
        <v>20</v>
      </c>
      <c r="B24" s="21">
        <v>3</v>
      </c>
      <c r="C24" s="41">
        <v>37183</v>
      </c>
      <c r="D24" s="21" t="s">
        <v>24</v>
      </c>
      <c r="E24" s="21">
        <v>6</v>
      </c>
      <c r="F24" s="21" t="s">
        <v>41</v>
      </c>
      <c r="G24" s="21" t="s">
        <v>11</v>
      </c>
      <c r="H24" s="42" t="s">
        <v>70</v>
      </c>
      <c r="I24" s="42" t="s">
        <v>71</v>
      </c>
    </row>
    <row r="25" spans="1:9" ht="15.75" x14ac:dyDescent="0.25">
      <c r="A25" s="21">
        <v>21</v>
      </c>
      <c r="B25" s="21">
        <v>0</v>
      </c>
      <c r="C25" s="41">
        <v>37195</v>
      </c>
      <c r="D25" s="21" t="s">
        <v>42</v>
      </c>
      <c r="E25" s="21">
        <v>3</v>
      </c>
      <c r="F25" s="21" t="s">
        <v>16</v>
      </c>
      <c r="G25" s="21" t="s">
        <v>10</v>
      </c>
      <c r="H25" s="42" t="s">
        <v>72</v>
      </c>
      <c r="I25" s="4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77D94-092C-4782-9A3C-840DD0B64656}">
  <dimension ref="A1:M67"/>
  <sheetViews>
    <sheetView topLeftCell="A35" workbookViewId="0">
      <selection activeCell="F57" sqref="F57"/>
    </sheetView>
  </sheetViews>
  <sheetFormatPr defaultColWidth="8.7109375" defaultRowHeight="15" x14ac:dyDescent="0.25"/>
  <cols>
    <col min="1" max="2" width="8.7109375" style="39"/>
    <col min="3" max="3" width="11.7109375" style="39" bestFit="1" customWidth="1"/>
    <col min="4" max="4" width="18.85546875" style="39" bestFit="1" customWidth="1"/>
    <col min="5" max="5" width="8.7109375" style="39"/>
    <col min="6" max="6" width="10" style="39" bestFit="1" customWidth="1"/>
    <col min="7" max="7" width="11.42578125" style="39" bestFit="1" customWidth="1"/>
    <col min="8" max="8" width="16.85546875" style="39" bestFit="1" customWidth="1"/>
    <col min="9" max="9" width="36.140625" style="39" customWidth="1"/>
    <col min="10" max="10" width="31.7109375" style="39" customWidth="1"/>
    <col min="11" max="16384" width="8.7109375" style="39"/>
  </cols>
  <sheetData>
    <row r="1" spans="1:13" ht="15.75" x14ac:dyDescent="0.25">
      <c r="A1" s="36" t="s">
        <v>73</v>
      </c>
      <c r="B1" s="36"/>
      <c r="C1" s="37"/>
      <c r="D1" s="44"/>
      <c r="E1" s="44"/>
      <c r="F1" s="44"/>
      <c r="G1" s="44"/>
      <c r="H1" s="44"/>
    </row>
    <row r="2" spans="1:13" ht="15.75" x14ac:dyDescent="0.25">
      <c r="A2" s="37" t="s">
        <v>1</v>
      </c>
      <c r="B2" s="37"/>
      <c r="C2" s="37"/>
      <c r="D2" s="44"/>
      <c r="E2" s="44" t="s">
        <v>2</v>
      </c>
      <c r="F2" s="44"/>
      <c r="G2" s="44"/>
      <c r="H2" s="44" t="s">
        <v>3</v>
      </c>
    </row>
    <row r="3" spans="1:13" ht="15.75" x14ac:dyDescent="0.25">
      <c r="A3" s="40"/>
      <c r="B3" s="40"/>
      <c r="C3" s="40"/>
      <c r="D3" s="45"/>
      <c r="E3" s="21"/>
      <c r="F3" s="21"/>
      <c r="G3" s="21"/>
      <c r="H3" s="21"/>
    </row>
    <row r="4" spans="1:13" ht="15.75" x14ac:dyDescent="0.25">
      <c r="A4" s="21" t="s">
        <v>4</v>
      </c>
      <c r="B4" s="21" t="s">
        <v>601</v>
      </c>
      <c r="C4" s="41" t="s">
        <v>5</v>
      </c>
      <c r="D4" s="21" t="s">
        <v>6</v>
      </c>
      <c r="E4" s="21" t="s">
        <v>7</v>
      </c>
      <c r="F4" s="21" t="s">
        <v>8</v>
      </c>
      <c r="G4" s="21" t="s">
        <v>74</v>
      </c>
      <c r="H4" s="21" t="s">
        <v>9</v>
      </c>
      <c r="I4" s="38" t="s">
        <v>43</v>
      </c>
      <c r="J4" s="38" t="s">
        <v>44</v>
      </c>
    </row>
    <row r="5" spans="1:13" ht="15.75" x14ac:dyDescent="0.25">
      <c r="A5" s="59">
        <v>1</v>
      </c>
      <c r="B5" s="59">
        <v>1</v>
      </c>
      <c r="C5" s="65">
        <v>37487</v>
      </c>
      <c r="D5" s="59" t="s">
        <v>82</v>
      </c>
      <c r="E5" s="59">
        <v>1</v>
      </c>
      <c r="F5" s="59" t="s">
        <v>83</v>
      </c>
      <c r="G5" s="59" t="s">
        <v>77</v>
      </c>
      <c r="H5" s="59" t="s">
        <v>76</v>
      </c>
      <c r="I5" s="66" t="s">
        <v>152</v>
      </c>
      <c r="J5" s="66"/>
      <c r="K5" s="67"/>
      <c r="L5" s="67"/>
      <c r="M5" s="67"/>
    </row>
    <row r="6" spans="1:13" ht="15.75" x14ac:dyDescent="0.25">
      <c r="A6" s="59">
        <v>2</v>
      </c>
      <c r="B6" s="59">
        <v>1</v>
      </c>
      <c r="C6" s="65">
        <v>37488</v>
      </c>
      <c r="D6" s="59" t="s">
        <v>84</v>
      </c>
      <c r="E6" s="59">
        <v>2</v>
      </c>
      <c r="F6" s="59" t="s">
        <v>83</v>
      </c>
      <c r="G6" s="59" t="s">
        <v>77</v>
      </c>
      <c r="H6" s="59" t="s">
        <v>76</v>
      </c>
      <c r="I6" s="66"/>
      <c r="J6" s="66"/>
      <c r="K6" s="67"/>
      <c r="L6" s="67"/>
      <c r="M6" s="67"/>
    </row>
    <row r="7" spans="1:13" ht="15.75" x14ac:dyDescent="0.25">
      <c r="A7" s="59">
        <v>3</v>
      </c>
      <c r="B7" s="59">
        <v>1</v>
      </c>
      <c r="C7" s="65">
        <v>37488</v>
      </c>
      <c r="D7" s="59" t="s">
        <v>85</v>
      </c>
      <c r="E7" s="59">
        <v>3</v>
      </c>
      <c r="F7" s="59">
        <v>26</v>
      </c>
      <c r="G7" s="59" t="s">
        <v>75</v>
      </c>
      <c r="H7" s="59" t="s">
        <v>80</v>
      </c>
      <c r="I7" s="66" t="s">
        <v>153</v>
      </c>
      <c r="J7" s="66"/>
      <c r="K7" s="67"/>
      <c r="L7" s="67"/>
      <c r="M7" s="67"/>
    </row>
    <row r="8" spans="1:13" ht="15.75" x14ac:dyDescent="0.25">
      <c r="A8" s="59">
        <v>4</v>
      </c>
      <c r="B8" s="59">
        <v>1</v>
      </c>
      <c r="C8" s="65">
        <v>37489</v>
      </c>
      <c r="D8" s="59" t="s">
        <v>86</v>
      </c>
      <c r="E8" s="59">
        <v>4</v>
      </c>
      <c r="F8" s="59" t="s">
        <v>87</v>
      </c>
      <c r="G8" s="59" t="s">
        <v>88</v>
      </c>
      <c r="H8" s="59" t="s">
        <v>76</v>
      </c>
      <c r="I8" s="66" t="s">
        <v>154</v>
      </c>
      <c r="J8" s="66"/>
      <c r="K8" s="67"/>
      <c r="L8" s="67"/>
      <c r="M8" s="67"/>
    </row>
    <row r="9" spans="1:13" ht="15.75" x14ac:dyDescent="0.25">
      <c r="A9" s="59">
        <v>5</v>
      </c>
      <c r="B9" s="59">
        <v>1</v>
      </c>
      <c r="C9" s="65">
        <v>37490</v>
      </c>
      <c r="D9" s="59" t="s">
        <v>82</v>
      </c>
      <c r="E9" s="59">
        <v>5</v>
      </c>
      <c r="F9" s="59" t="s">
        <v>20</v>
      </c>
      <c r="G9" s="59" t="s">
        <v>88</v>
      </c>
      <c r="H9" s="59" t="s">
        <v>76</v>
      </c>
      <c r="I9" s="66"/>
      <c r="J9" s="66"/>
      <c r="K9" s="67"/>
      <c r="L9" s="67"/>
      <c r="M9" s="67"/>
    </row>
    <row r="10" spans="1:13" ht="15.75" x14ac:dyDescent="0.25">
      <c r="A10" s="59">
        <v>6</v>
      </c>
      <c r="B10" s="59">
        <v>1</v>
      </c>
      <c r="C10" s="65">
        <v>37491</v>
      </c>
      <c r="D10" s="59" t="s">
        <v>89</v>
      </c>
      <c r="E10" s="59">
        <v>6</v>
      </c>
      <c r="F10" s="59" t="s">
        <v>90</v>
      </c>
      <c r="G10" s="59" t="s">
        <v>79</v>
      </c>
      <c r="H10" s="59" t="s">
        <v>76</v>
      </c>
      <c r="I10" s="66" t="s">
        <v>155</v>
      </c>
      <c r="J10" s="66"/>
      <c r="K10" s="67"/>
      <c r="L10" s="67"/>
      <c r="M10" s="67"/>
    </row>
    <row r="11" spans="1:13" ht="15.75" x14ac:dyDescent="0.25">
      <c r="A11" s="59">
        <v>7</v>
      </c>
      <c r="B11" s="59">
        <v>1</v>
      </c>
      <c r="C11" s="65">
        <v>37491</v>
      </c>
      <c r="D11" s="59" t="s">
        <v>91</v>
      </c>
      <c r="E11" s="59">
        <v>7</v>
      </c>
      <c r="F11" s="59" t="s">
        <v>90</v>
      </c>
      <c r="G11" s="59" t="s">
        <v>79</v>
      </c>
      <c r="H11" s="59" t="s">
        <v>76</v>
      </c>
      <c r="I11" s="66" t="s">
        <v>156</v>
      </c>
      <c r="J11" s="66"/>
      <c r="K11" s="67"/>
      <c r="L11" s="67"/>
      <c r="M11" s="67"/>
    </row>
    <row r="12" spans="1:13" ht="15.75" x14ac:dyDescent="0.25">
      <c r="A12" s="59">
        <v>8</v>
      </c>
      <c r="B12" s="59">
        <v>2</v>
      </c>
      <c r="C12" s="65">
        <v>37502</v>
      </c>
      <c r="D12" s="59" t="s">
        <v>92</v>
      </c>
      <c r="E12" s="59">
        <v>1</v>
      </c>
      <c r="F12" s="59" t="s">
        <v>93</v>
      </c>
      <c r="G12" s="59" t="s">
        <v>77</v>
      </c>
      <c r="H12" s="59" t="s">
        <v>76</v>
      </c>
      <c r="I12" s="66" t="s">
        <v>157</v>
      </c>
      <c r="J12" s="66"/>
      <c r="K12" s="67"/>
      <c r="L12" s="67"/>
      <c r="M12" s="67"/>
    </row>
    <row r="13" spans="1:13" ht="15.75" x14ac:dyDescent="0.25">
      <c r="A13" s="59">
        <v>9</v>
      </c>
      <c r="B13" s="59">
        <v>2</v>
      </c>
      <c r="C13" s="65">
        <v>37503</v>
      </c>
      <c r="D13" s="59" t="s">
        <v>94</v>
      </c>
      <c r="E13" s="59">
        <v>2</v>
      </c>
      <c r="F13" s="59" t="s">
        <v>93</v>
      </c>
      <c r="G13" s="59" t="s">
        <v>77</v>
      </c>
      <c r="H13" s="59" t="s">
        <v>76</v>
      </c>
      <c r="I13" s="66"/>
      <c r="J13" s="66"/>
      <c r="K13" s="67"/>
      <c r="L13" s="67"/>
      <c r="M13" s="67"/>
    </row>
    <row r="14" spans="1:13" ht="15.75" x14ac:dyDescent="0.25">
      <c r="A14" s="59">
        <v>10</v>
      </c>
      <c r="B14" s="59">
        <v>2</v>
      </c>
      <c r="C14" s="65">
        <v>37503</v>
      </c>
      <c r="D14" s="59" t="s">
        <v>95</v>
      </c>
      <c r="E14" s="59">
        <v>3</v>
      </c>
      <c r="F14" s="59">
        <v>12</v>
      </c>
      <c r="G14" s="59" t="s">
        <v>75</v>
      </c>
      <c r="H14" s="59" t="s">
        <v>80</v>
      </c>
      <c r="I14" s="66" t="s">
        <v>158</v>
      </c>
      <c r="J14" s="66"/>
      <c r="K14" s="67"/>
      <c r="L14" s="67"/>
      <c r="M14" s="67"/>
    </row>
    <row r="15" spans="1:13" ht="15.75" x14ac:dyDescent="0.25">
      <c r="A15" s="59">
        <v>11</v>
      </c>
      <c r="B15" s="59">
        <v>2</v>
      </c>
      <c r="C15" s="65">
        <v>37504</v>
      </c>
      <c r="D15" s="59" t="s">
        <v>96</v>
      </c>
      <c r="E15" s="59">
        <v>4</v>
      </c>
      <c r="F15" s="59" t="s">
        <v>20</v>
      </c>
      <c r="G15" s="59" t="s">
        <v>78</v>
      </c>
      <c r="H15" s="59" t="s">
        <v>76</v>
      </c>
      <c r="I15" s="66" t="s">
        <v>159</v>
      </c>
      <c r="J15" s="66"/>
      <c r="K15" s="67"/>
      <c r="L15" s="67"/>
      <c r="M15" s="67"/>
    </row>
    <row r="16" spans="1:13" ht="15.75" x14ac:dyDescent="0.25">
      <c r="A16" s="59">
        <v>12</v>
      </c>
      <c r="B16" s="59">
        <v>2</v>
      </c>
      <c r="C16" s="65">
        <v>37504</v>
      </c>
      <c r="D16" s="59" t="s">
        <v>97</v>
      </c>
      <c r="E16" s="59">
        <v>5</v>
      </c>
      <c r="F16" s="59" t="s">
        <v>20</v>
      </c>
      <c r="G16" s="59" t="s">
        <v>78</v>
      </c>
      <c r="H16" s="59" t="s">
        <v>76</v>
      </c>
      <c r="I16" s="66"/>
      <c r="J16" s="66"/>
      <c r="K16" s="67"/>
      <c r="L16" s="67"/>
      <c r="M16" s="67"/>
    </row>
    <row r="17" spans="1:13" ht="15.75" x14ac:dyDescent="0.25">
      <c r="A17" s="59">
        <v>13</v>
      </c>
      <c r="B17" s="59">
        <v>2</v>
      </c>
      <c r="C17" s="65">
        <v>37504</v>
      </c>
      <c r="D17" s="59" t="s">
        <v>98</v>
      </c>
      <c r="E17" s="59">
        <v>6</v>
      </c>
      <c r="F17" s="59" t="s">
        <v>99</v>
      </c>
      <c r="G17" s="59" t="s">
        <v>79</v>
      </c>
      <c r="H17" s="59" t="s">
        <v>76</v>
      </c>
      <c r="I17" s="66" t="s">
        <v>160</v>
      </c>
      <c r="J17" s="66"/>
      <c r="K17" s="67"/>
      <c r="L17" s="67"/>
      <c r="M17" s="67"/>
    </row>
    <row r="18" spans="1:13" ht="15.75" x14ac:dyDescent="0.25">
      <c r="A18" s="59">
        <v>14</v>
      </c>
      <c r="B18" s="59">
        <v>2</v>
      </c>
      <c r="C18" s="65">
        <v>37505</v>
      </c>
      <c r="D18" s="59" t="s">
        <v>100</v>
      </c>
      <c r="E18" s="59">
        <v>7</v>
      </c>
      <c r="F18" s="59" t="s">
        <v>90</v>
      </c>
      <c r="G18" s="59" t="s">
        <v>79</v>
      </c>
      <c r="H18" s="59" t="s">
        <v>76</v>
      </c>
      <c r="I18" s="66" t="s">
        <v>161</v>
      </c>
      <c r="J18" s="66"/>
      <c r="K18" s="67"/>
      <c r="L18" s="67"/>
      <c r="M18" s="67"/>
    </row>
    <row r="19" spans="1:13" ht="15.75" x14ac:dyDescent="0.25">
      <c r="A19" s="59">
        <v>15</v>
      </c>
      <c r="B19" s="59">
        <v>3</v>
      </c>
      <c r="C19" s="65">
        <v>37516</v>
      </c>
      <c r="D19" s="59" t="s">
        <v>100</v>
      </c>
      <c r="E19" s="59">
        <v>1</v>
      </c>
      <c r="F19" s="59" t="s">
        <v>93</v>
      </c>
      <c r="G19" s="59" t="s">
        <v>77</v>
      </c>
      <c r="H19" s="59" t="s">
        <v>76</v>
      </c>
      <c r="I19" s="66" t="s">
        <v>162</v>
      </c>
      <c r="J19" s="66"/>
      <c r="K19" s="67"/>
      <c r="L19" s="67"/>
      <c r="M19" s="67"/>
    </row>
    <row r="20" spans="1:13" ht="15.75" x14ac:dyDescent="0.25">
      <c r="A20" s="59">
        <v>16</v>
      </c>
      <c r="B20" s="59">
        <v>3</v>
      </c>
      <c r="C20" s="65">
        <v>37517</v>
      </c>
      <c r="D20" s="59" t="s">
        <v>101</v>
      </c>
      <c r="E20" s="59">
        <v>2</v>
      </c>
      <c r="F20" s="59" t="s">
        <v>93</v>
      </c>
      <c r="G20" s="59" t="s">
        <v>77</v>
      </c>
      <c r="H20" s="59" t="s">
        <v>76</v>
      </c>
      <c r="I20" s="66" t="s">
        <v>163</v>
      </c>
      <c r="J20" s="66"/>
      <c r="K20" s="67"/>
      <c r="L20" s="67"/>
      <c r="M20" s="67"/>
    </row>
    <row r="21" spans="1:13" ht="15.75" x14ac:dyDescent="0.25">
      <c r="A21" s="59">
        <v>17</v>
      </c>
      <c r="B21" s="59">
        <v>3</v>
      </c>
      <c r="C21" s="65">
        <v>37517</v>
      </c>
      <c r="D21" s="59" t="s">
        <v>102</v>
      </c>
      <c r="E21" s="59">
        <v>3</v>
      </c>
      <c r="F21" s="59" t="s">
        <v>103</v>
      </c>
      <c r="G21" s="59" t="s">
        <v>75</v>
      </c>
      <c r="H21" s="59" t="s">
        <v>80</v>
      </c>
      <c r="I21" s="66" t="s">
        <v>164</v>
      </c>
      <c r="J21" s="66"/>
      <c r="K21" s="67"/>
      <c r="L21" s="67"/>
      <c r="M21" s="67"/>
    </row>
    <row r="22" spans="1:13" ht="15.75" x14ac:dyDescent="0.25">
      <c r="A22" s="59">
        <v>18</v>
      </c>
      <c r="B22" s="59">
        <v>3</v>
      </c>
      <c r="C22" s="65">
        <v>37518</v>
      </c>
      <c r="D22" s="59" t="s">
        <v>104</v>
      </c>
      <c r="E22" s="59">
        <v>4</v>
      </c>
      <c r="F22" s="59" t="s">
        <v>31</v>
      </c>
      <c r="G22" s="59" t="s">
        <v>78</v>
      </c>
      <c r="H22" s="59" t="s">
        <v>76</v>
      </c>
      <c r="I22" s="66" t="s">
        <v>165</v>
      </c>
      <c r="J22" s="66"/>
      <c r="K22" s="67"/>
      <c r="L22" s="67"/>
      <c r="M22" s="67"/>
    </row>
    <row r="23" spans="1:13" ht="15.75" x14ac:dyDescent="0.25">
      <c r="A23" s="59">
        <v>19</v>
      </c>
      <c r="B23" s="59">
        <v>3</v>
      </c>
      <c r="C23" s="65">
        <v>37518</v>
      </c>
      <c r="D23" s="59" t="s">
        <v>105</v>
      </c>
      <c r="E23" s="59">
        <v>5</v>
      </c>
      <c r="F23" s="59" t="s">
        <v>31</v>
      </c>
      <c r="G23" s="59" t="s">
        <v>78</v>
      </c>
      <c r="H23" s="59" t="s">
        <v>76</v>
      </c>
      <c r="I23" s="66" t="s">
        <v>166</v>
      </c>
      <c r="J23" s="66"/>
      <c r="K23" s="67"/>
      <c r="L23" s="67"/>
      <c r="M23" s="67"/>
    </row>
    <row r="24" spans="1:13" ht="15.75" x14ac:dyDescent="0.25">
      <c r="A24" s="59">
        <v>20</v>
      </c>
      <c r="B24" s="59">
        <v>3</v>
      </c>
      <c r="C24" s="65">
        <v>37519</v>
      </c>
      <c r="D24" s="59" t="s">
        <v>106</v>
      </c>
      <c r="E24" s="59">
        <v>6</v>
      </c>
      <c r="F24" s="59" t="s">
        <v>107</v>
      </c>
      <c r="G24" s="59" t="s">
        <v>79</v>
      </c>
      <c r="H24" s="59" t="s">
        <v>76</v>
      </c>
      <c r="I24" s="66" t="s">
        <v>167</v>
      </c>
      <c r="J24" s="66"/>
      <c r="K24" s="67"/>
      <c r="L24" s="67"/>
      <c r="M24" s="67"/>
    </row>
    <row r="25" spans="1:13" ht="15.75" x14ac:dyDescent="0.25">
      <c r="A25" s="59">
        <v>21</v>
      </c>
      <c r="B25" s="46">
        <v>3</v>
      </c>
      <c r="C25" s="68">
        <v>37519</v>
      </c>
      <c r="D25" s="46" t="s">
        <v>108</v>
      </c>
      <c r="E25" s="46">
        <v>7</v>
      </c>
      <c r="F25" s="46" t="s">
        <v>109</v>
      </c>
      <c r="G25" s="46" t="s">
        <v>79</v>
      </c>
      <c r="H25" s="46" t="s">
        <v>76</v>
      </c>
      <c r="I25" s="47" t="s">
        <v>168</v>
      </c>
      <c r="J25" s="47"/>
      <c r="K25" s="67"/>
      <c r="L25" s="67"/>
      <c r="M25" s="67"/>
    </row>
    <row r="26" spans="1:13" ht="15.75" x14ac:dyDescent="0.25">
      <c r="A26" s="59">
        <v>22</v>
      </c>
      <c r="B26" s="59">
        <v>4</v>
      </c>
      <c r="C26" s="65">
        <v>37529</v>
      </c>
      <c r="D26" s="59" t="s">
        <v>110</v>
      </c>
      <c r="E26" s="59">
        <v>1</v>
      </c>
      <c r="F26" s="59" t="s">
        <v>83</v>
      </c>
      <c r="G26" s="59" t="s">
        <v>77</v>
      </c>
      <c r="H26" s="59" t="s">
        <v>76</v>
      </c>
      <c r="I26" s="66" t="s">
        <v>169</v>
      </c>
      <c r="J26" s="66"/>
      <c r="K26" s="67"/>
      <c r="L26" s="67"/>
      <c r="M26" s="67"/>
    </row>
    <row r="27" spans="1:13" ht="15.75" x14ac:dyDescent="0.25">
      <c r="A27" s="59">
        <v>23</v>
      </c>
      <c r="B27" s="59">
        <v>4</v>
      </c>
      <c r="C27" s="65">
        <v>37530</v>
      </c>
      <c r="D27" s="59" t="s">
        <v>111</v>
      </c>
      <c r="E27" s="59">
        <v>2</v>
      </c>
      <c r="F27" s="59" t="s">
        <v>83</v>
      </c>
      <c r="G27" s="59" t="s">
        <v>77</v>
      </c>
      <c r="H27" s="59" t="s">
        <v>76</v>
      </c>
      <c r="I27" s="66" t="s">
        <v>170</v>
      </c>
      <c r="J27" s="66"/>
      <c r="K27" s="67"/>
      <c r="L27" s="67"/>
      <c r="M27" s="67"/>
    </row>
    <row r="28" spans="1:13" ht="15.75" x14ac:dyDescent="0.25">
      <c r="A28" s="59">
        <v>24</v>
      </c>
      <c r="B28" s="59">
        <v>4</v>
      </c>
      <c r="C28" s="65">
        <v>37530</v>
      </c>
      <c r="D28" s="59" t="s">
        <v>112</v>
      </c>
      <c r="E28" s="59">
        <v>3</v>
      </c>
      <c r="F28" s="59" t="s">
        <v>113</v>
      </c>
      <c r="G28" s="59" t="s">
        <v>75</v>
      </c>
      <c r="H28" s="59" t="s">
        <v>80</v>
      </c>
      <c r="I28" s="66" t="s">
        <v>171</v>
      </c>
      <c r="J28" s="66"/>
      <c r="K28" s="67"/>
      <c r="L28" s="67"/>
      <c r="M28" s="67"/>
    </row>
    <row r="29" spans="1:13" ht="15.75" x14ac:dyDescent="0.25">
      <c r="A29" s="59">
        <v>25</v>
      </c>
      <c r="B29" s="59">
        <v>4</v>
      </c>
      <c r="C29" s="65">
        <v>37531</v>
      </c>
      <c r="D29" s="59" t="s">
        <v>114</v>
      </c>
      <c r="E29" s="59">
        <v>4</v>
      </c>
      <c r="F29" s="59" t="s">
        <v>115</v>
      </c>
      <c r="G29" s="59" t="s">
        <v>78</v>
      </c>
      <c r="H29" s="59" t="s">
        <v>76</v>
      </c>
      <c r="I29" s="66" t="s">
        <v>172</v>
      </c>
      <c r="J29" s="66"/>
      <c r="K29" s="67"/>
      <c r="L29" s="67"/>
      <c r="M29" s="67"/>
    </row>
    <row r="30" spans="1:13" ht="15.75" x14ac:dyDescent="0.25">
      <c r="A30" s="59">
        <v>26</v>
      </c>
      <c r="B30" s="59">
        <v>4</v>
      </c>
      <c r="C30" s="65">
        <v>37531</v>
      </c>
      <c r="D30" s="59" t="s">
        <v>116</v>
      </c>
      <c r="E30" s="59">
        <v>5</v>
      </c>
      <c r="F30" s="59" t="s">
        <v>117</v>
      </c>
      <c r="G30" s="59" t="s">
        <v>78</v>
      </c>
      <c r="H30" s="59" t="s">
        <v>76</v>
      </c>
      <c r="I30" s="66" t="s">
        <v>173</v>
      </c>
      <c r="J30" s="66"/>
      <c r="K30" s="67"/>
      <c r="L30" s="67"/>
      <c r="M30" s="67"/>
    </row>
    <row r="31" spans="1:13" ht="15.75" x14ac:dyDescent="0.25">
      <c r="A31" s="59">
        <v>27</v>
      </c>
      <c r="B31" s="59">
        <v>4</v>
      </c>
      <c r="C31" s="65">
        <v>37532</v>
      </c>
      <c r="D31" s="59" t="s">
        <v>118</v>
      </c>
      <c r="E31" s="59">
        <v>6</v>
      </c>
      <c r="F31" s="59" t="s">
        <v>119</v>
      </c>
      <c r="G31" s="59" t="s">
        <v>79</v>
      </c>
      <c r="H31" s="59" t="s">
        <v>76</v>
      </c>
      <c r="I31" s="66" t="s">
        <v>174</v>
      </c>
      <c r="J31" s="66"/>
      <c r="K31" s="67"/>
      <c r="L31" s="67"/>
      <c r="M31" s="67"/>
    </row>
    <row r="32" spans="1:13" ht="15.75" x14ac:dyDescent="0.25">
      <c r="A32" s="59">
        <v>28</v>
      </c>
      <c r="B32" s="59">
        <v>4</v>
      </c>
      <c r="C32" s="65">
        <v>37539</v>
      </c>
      <c r="D32" s="59" t="s">
        <v>120</v>
      </c>
      <c r="E32" s="59">
        <v>3</v>
      </c>
      <c r="F32" s="59" t="s">
        <v>121</v>
      </c>
      <c r="G32" s="59" t="s">
        <v>75</v>
      </c>
      <c r="H32" s="59" t="s">
        <v>80</v>
      </c>
      <c r="I32" s="66" t="s">
        <v>175</v>
      </c>
      <c r="J32" s="66"/>
      <c r="K32" s="67"/>
      <c r="L32" s="67"/>
      <c r="M32" s="67"/>
    </row>
    <row r="33" spans="1:13" ht="15.75" x14ac:dyDescent="0.25">
      <c r="A33" s="59">
        <v>29</v>
      </c>
      <c r="B33" s="59">
        <v>5</v>
      </c>
      <c r="C33" s="65">
        <v>37545</v>
      </c>
      <c r="D33" s="59" t="s">
        <v>122</v>
      </c>
      <c r="E33" s="59">
        <v>2</v>
      </c>
      <c r="F33" s="59" t="s">
        <v>83</v>
      </c>
      <c r="G33" s="59" t="s">
        <v>77</v>
      </c>
      <c r="H33" s="59" t="s">
        <v>76</v>
      </c>
      <c r="I33" s="66" t="s">
        <v>176</v>
      </c>
      <c r="J33" s="66"/>
      <c r="K33" s="67"/>
      <c r="L33" s="67"/>
      <c r="M33" s="67"/>
    </row>
    <row r="34" spans="1:13" ht="15.75" x14ac:dyDescent="0.25">
      <c r="A34" s="59">
        <v>30</v>
      </c>
      <c r="B34" s="59">
        <v>5</v>
      </c>
      <c r="C34" s="65">
        <v>37545</v>
      </c>
      <c r="D34" s="59" t="s">
        <v>120</v>
      </c>
      <c r="E34" s="59">
        <v>3</v>
      </c>
      <c r="F34" s="59" t="s">
        <v>123</v>
      </c>
      <c r="G34" s="59" t="s">
        <v>75</v>
      </c>
      <c r="H34" s="59" t="s">
        <v>80</v>
      </c>
      <c r="I34" s="66" t="s">
        <v>177</v>
      </c>
      <c r="J34" s="66"/>
      <c r="K34" s="67"/>
      <c r="L34" s="67"/>
      <c r="M34" s="67"/>
    </row>
    <row r="35" spans="1:13" ht="15.75" x14ac:dyDescent="0.25">
      <c r="A35" s="59">
        <v>31</v>
      </c>
      <c r="B35" s="59">
        <v>5</v>
      </c>
      <c r="C35" s="65">
        <v>37546</v>
      </c>
      <c r="D35" s="59" t="s">
        <v>124</v>
      </c>
      <c r="E35" s="59">
        <v>4</v>
      </c>
      <c r="F35" s="59" t="s">
        <v>125</v>
      </c>
      <c r="G35" s="59" t="s">
        <v>78</v>
      </c>
      <c r="H35" s="59" t="s">
        <v>76</v>
      </c>
      <c r="I35" s="66" t="s">
        <v>178</v>
      </c>
      <c r="J35" s="66"/>
      <c r="K35" s="67"/>
      <c r="L35" s="67"/>
      <c r="M35" s="67"/>
    </row>
    <row r="36" spans="1:13" ht="15.75" x14ac:dyDescent="0.25">
      <c r="A36" s="59">
        <v>32</v>
      </c>
      <c r="B36" s="59">
        <v>5</v>
      </c>
      <c r="C36" s="65">
        <v>37546</v>
      </c>
      <c r="D36" s="59" t="s">
        <v>126</v>
      </c>
      <c r="E36" s="59">
        <v>5</v>
      </c>
      <c r="F36" s="59" t="s">
        <v>125</v>
      </c>
      <c r="G36" s="59" t="s">
        <v>78</v>
      </c>
      <c r="H36" s="59" t="s">
        <v>76</v>
      </c>
      <c r="I36" s="66" t="s">
        <v>179</v>
      </c>
      <c r="J36" s="66"/>
      <c r="K36" s="67"/>
      <c r="L36" s="67"/>
      <c r="M36" s="67"/>
    </row>
    <row r="37" spans="1:13" ht="15.75" x14ac:dyDescent="0.25">
      <c r="A37" s="59">
        <v>33</v>
      </c>
      <c r="B37" s="59">
        <v>5</v>
      </c>
      <c r="C37" s="65">
        <v>37547</v>
      </c>
      <c r="D37" s="59" t="s">
        <v>127</v>
      </c>
      <c r="E37" s="59">
        <v>6</v>
      </c>
      <c r="F37" s="59" t="s">
        <v>128</v>
      </c>
      <c r="G37" s="59" t="s">
        <v>79</v>
      </c>
      <c r="H37" s="59" t="s">
        <v>76</v>
      </c>
      <c r="I37" s="66" t="s">
        <v>180</v>
      </c>
      <c r="J37" s="66"/>
      <c r="K37" s="67"/>
      <c r="L37" s="67"/>
      <c r="M37" s="67"/>
    </row>
    <row r="38" spans="1:13" ht="15.75" x14ac:dyDescent="0.25">
      <c r="A38" s="59">
        <v>34</v>
      </c>
      <c r="B38" s="59">
        <v>5</v>
      </c>
      <c r="C38" s="65">
        <v>37550</v>
      </c>
      <c r="D38" s="59" t="s">
        <v>129</v>
      </c>
      <c r="E38" s="59">
        <v>1</v>
      </c>
      <c r="F38" s="59" t="s">
        <v>130</v>
      </c>
      <c r="G38" s="59" t="s">
        <v>77</v>
      </c>
      <c r="H38" s="59" t="s">
        <v>76</v>
      </c>
      <c r="I38" s="66" t="s">
        <v>181</v>
      </c>
      <c r="J38" s="66"/>
      <c r="K38" s="67"/>
      <c r="L38" s="67"/>
      <c r="M38" s="67"/>
    </row>
    <row r="39" spans="1:13" ht="15.75" x14ac:dyDescent="0.25">
      <c r="A39" s="59">
        <v>35</v>
      </c>
      <c r="B39" s="59">
        <v>6</v>
      </c>
      <c r="C39" s="65">
        <v>37557</v>
      </c>
      <c r="D39" s="59" t="s">
        <v>131</v>
      </c>
      <c r="E39" s="59">
        <v>1</v>
      </c>
      <c r="F39" s="59" t="s">
        <v>132</v>
      </c>
      <c r="G39" s="59" t="s">
        <v>77</v>
      </c>
      <c r="H39" s="59" t="s">
        <v>76</v>
      </c>
      <c r="I39" s="66" t="s">
        <v>182</v>
      </c>
      <c r="J39" s="66"/>
      <c r="K39" s="67"/>
      <c r="L39" s="67"/>
      <c r="M39" s="67"/>
    </row>
    <row r="40" spans="1:13" ht="15.75" x14ac:dyDescent="0.25">
      <c r="A40" s="59">
        <v>36</v>
      </c>
      <c r="B40" s="59">
        <v>6</v>
      </c>
      <c r="C40" s="65">
        <v>37558</v>
      </c>
      <c r="D40" s="59" t="s">
        <v>133</v>
      </c>
      <c r="E40" s="59">
        <v>2</v>
      </c>
      <c r="F40" s="59" t="s">
        <v>83</v>
      </c>
      <c r="G40" s="59" t="s">
        <v>77</v>
      </c>
      <c r="H40" s="59" t="s">
        <v>76</v>
      </c>
      <c r="I40" s="66" t="s">
        <v>183</v>
      </c>
      <c r="J40" s="66"/>
      <c r="K40" s="67"/>
      <c r="L40" s="67"/>
      <c r="M40" s="67"/>
    </row>
    <row r="41" spans="1:13" ht="15.75" x14ac:dyDescent="0.25">
      <c r="A41" s="59">
        <v>37</v>
      </c>
      <c r="B41" s="59">
        <v>6</v>
      </c>
      <c r="C41" s="65">
        <v>37558</v>
      </c>
      <c r="D41" s="59" t="s">
        <v>134</v>
      </c>
      <c r="E41" s="59">
        <v>3</v>
      </c>
      <c r="F41" s="59" t="s">
        <v>135</v>
      </c>
      <c r="G41" s="59" t="s">
        <v>75</v>
      </c>
      <c r="H41" s="59" t="s">
        <v>80</v>
      </c>
      <c r="I41" s="66" t="s">
        <v>184</v>
      </c>
      <c r="J41" s="66"/>
      <c r="K41" s="67"/>
      <c r="L41" s="67"/>
      <c r="M41" s="67"/>
    </row>
    <row r="42" spans="1:13" ht="15.75" x14ac:dyDescent="0.25">
      <c r="A42" s="59">
        <v>38</v>
      </c>
      <c r="B42" s="59">
        <v>6</v>
      </c>
      <c r="C42" s="65">
        <v>37559</v>
      </c>
      <c r="D42" s="59" t="s">
        <v>136</v>
      </c>
      <c r="E42" s="59">
        <v>4</v>
      </c>
      <c r="F42" s="59" t="s">
        <v>137</v>
      </c>
      <c r="G42" s="59" t="s">
        <v>78</v>
      </c>
      <c r="H42" s="59" t="s">
        <v>76</v>
      </c>
      <c r="I42" s="66" t="s">
        <v>185</v>
      </c>
      <c r="J42" s="66"/>
      <c r="K42" s="67"/>
      <c r="L42" s="67"/>
      <c r="M42" s="67"/>
    </row>
    <row r="43" spans="1:13" ht="15.75" x14ac:dyDescent="0.25">
      <c r="A43" s="59">
        <v>39</v>
      </c>
      <c r="B43" s="59">
        <v>6</v>
      </c>
      <c r="C43" s="65">
        <v>37559</v>
      </c>
      <c r="D43" s="59" t="s">
        <v>138</v>
      </c>
      <c r="E43" s="59">
        <v>5</v>
      </c>
      <c r="F43" s="59" t="s">
        <v>137</v>
      </c>
      <c r="G43" s="59" t="s">
        <v>78</v>
      </c>
      <c r="H43" s="59" t="s">
        <v>76</v>
      </c>
      <c r="I43" s="66" t="s">
        <v>186</v>
      </c>
      <c r="J43" s="66"/>
      <c r="K43" s="67"/>
      <c r="L43" s="67"/>
      <c r="M43" s="67"/>
    </row>
    <row r="44" spans="1:13" ht="15.75" x14ac:dyDescent="0.25">
      <c r="A44" s="59">
        <v>40</v>
      </c>
      <c r="B44" s="59">
        <v>6</v>
      </c>
      <c r="C44" s="65">
        <v>37560</v>
      </c>
      <c r="D44" s="59" t="s">
        <v>139</v>
      </c>
      <c r="E44" s="59">
        <v>6</v>
      </c>
      <c r="F44" s="59" t="s">
        <v>140</v>
      </c>
      <c r="G44" s="59" t="s">
        <v>79</v>
      </c>
      <c r="H44" s="59" t="s">
        <v>76</v>
      </c>
      <c r="I44" s="66" t="s">
        <v>187</v>
      </c>
      <c r="J44" s="66"/>
      <c r="K44" s="67"/>
      <c r="L44" s="67"/>
      <c r="M44" s="67"/>
    </row>
    <row r="45" spans="1:13" ht="15.75" x14ac:dyDescent="0.25">
      <c r="A45" s="59">
        <v>41</v>
      </c>
      <c r="B45" s="59">
        <v>6</v>
      </c>
      <c r="C45" s="65">
        <v>37564</v>
      </c>
      <c r="D45" s="59" t="s">
        <v>141</v>
      </c>
      <c r="E45" s="59">
        <v>3</v>
      </c>
      <c r="F45" s="59" t="s">
        <v>142</v>
      </c>
      <c r="G45" s="59" t="s">
        <v>75</v>
      </c>
      <c r="H45" s="59" t="s">
        <v>10</v>
      </c>
      <c r="I45" s="66"/>
      <c r="J45" s="66"/>
      <c r="K45" s="67"/>
      <c r="L45" s="67"/>
      <c r="M45" s="67"/>
    </row>
    <row r="46" spans="1:13" ht="15.75" x14ac:dyDescent="0.25">
      <c r="A46" s="59">
        <v>42</v>
      </c>
      <c r="B46" s="59">
        <v>7</v>
      </c>
      <c r="C46" s="65">
        <v>37572</v>
      </c>
      <c r="D46" s="59" t="s">
        <v>143</v>
      </c>
      <c r="E46" s="59">
        <v>1</v>
      </c>
      <c r="F46" s="59" t="s">
        <v>144</v>
      </c>
      <c r="G46" s="59" t="s">
        <v>77</v>
      </c>
      <c r="H46" s="59" t="s">
        <v>76</v>
      </c>
      <c r="I46" s="66"/>
      <c r="J46" s="66"/>
      <c r="K46" s="67"/>
      <c r="L46" s="67"/>
      <c r="M46" s="67"/>
    </row>
    <row r="47" spans="1:13" ht="15.75" x14ac:dyDescent="0.25">
      <c r="A47" s="59">
        <v>43</v>
      </c>
      <c r="B47" s="59">
        <v>7</v>
      </c>
      <c r="C47" s="65">
        <v>37573</v>
      </c>
      <c r="D47" s="59" t="s">
        <v>145</v>
      </c>
      <c r="E47" s="59">
        <v>2</v>
      </c>
      <c r="F47" s="59" t="s">
        <v>144</v>
      </c>
      <c r="G47" s="59" t="s">
        <v>77</v>
      </c>
      <c r="H47" s="59" t="s">
        <v>76</v>
      </c>
      <c r="I47" s="66"/>
      <c r="J47" s="66"/>
      <c r="K47" s="67"/>
      <c r="L47" s="67"/>
      <c r="M47" s="67"/>
    </row>
    <row r="48" spans="1:13" ht="15.75" x14ac:dyDescent="0.25">
      <c r="A48" s="59">
        <v>44</v>
      </c>
      <c r="B48" s="59">
        <v>7</v>
      </c>
      <c r="C48" s="65">
        <v>37573</v>
      </c>
      <c r="D48" s="59" t="s">
        <v>146</v>
      </c>
      <c r="E48" s="59">
        <v>3</v>
      </c>
      <c r="F48" s="59" t="s">
        <v>31</v>
      </c>
      <c r="G48" s="59" t="s">
        <v>75</v>
      </c>
      <c r="H48" s="59" t="s">
        <v>80</v>
      </c>
      <c r="I48" s="66"/>
      <c r="J48" s="66"/>
      <c r="K48" s="67"/>
      <c r="L48" s="67"/>
      <c r="M48" s="67"/>
    </row>
    <row r="49" spans="1:13" ht="15.75" x14ac:dyDescent="0.25">
      <c r="A49" s="59">
        <v>45</v>
      </c>
      <c r="B49" s="59">
        <v>7</v>
      </c>
      <c r="C49" s="65">
        <v>37574</v>
      </c>
      <c r="D49" s="59" t="s">
        <v>147</v>
      </c>
      <c r="E49" s="59">
        <v>4</v>
      </c>
      <c r="F49" s="59" t="s">
        <v>148</v>
      </c>
      <c r="G49" s="59" t="s">
        <v>78</v>
      </c>
      <c r="H49" s="59" t="s">
        <v>76</v>
      </c>
      <c r="I49" s="66" t="s">
        <v>188</v>
      </c>
      <c r="J49" s="66"/>
      <c r="K49" s="67"/>
      <c r="L49" s="67"/>
      <c r="M49" s="67"/>
    </row>
    <row r="50" spans="1:13" ht="15.75" x14ac:dyDescent="0.25">
      <c r="A50" s="59">
        <v>46</v>
      </c>
      <c r="B50" s="59">
        <v>7</v>
      </c>
      <c r="C50" s="65">
        <v>37574</v>
      </c>
      <c r="D50" s="59" t="s">
        <v>149</v>
      </c>
      <c r="E50" s="59">
        <v>5</v>
      </c>
      <c r="F50" s="59" t="s">
        <v>148</v>
      </c>
      <c r="G50" s="59" t="s">
        <v>78</v>
      </c>
      <c r="H50" s="59" t="s">
        <v>76</v>
      </c>
      <c r="I50" s="66"/>
      <c r="J50" s="66"/>
      <c r="K50" s="67"/>
      <c r="L50" s="67"/>
      <c r="M50" s="67"/>
    </row>
    <row r="51" spans="1:13" ht="15.75" x14ac:dyDescent="0.25">
      <c r="A51" s="59">
        <v>47</v>
      </c>
      <c r="B51" s="59">
        <v>7</v>
      </c>
      <c r="C51" s="65">
        <v>37575</v>
      </c>
      <c r="D51" s="59" t="s">
        <v>150</v>
      </c>
      <c r="E51" s="59">
        <v>6</v>
      </c>
      <c r="F51" s="59" t="s">
        <v>151</v>
      </c>
      <c r="G51" s="59" t="s">
        <v>79</v>
      </c>
      <c r="H51" s="59" t="s">
        <v>76</v>
      </c>
      <c r="I51" s="66" t="s">
        <v>189</v>
      </c>
      <c r="J51" s="66"/>
      <c r="K51" s="67"/>
      <c r="L51" s="67"/>
      <c r="M51" s="67"/>
    </row>
    <row r="52" spans="1:13" x14ac:dyDescent="0.25">
      <c r="A52" s="67"/>
      <c r="B52" s="67"/>
      <c r="C52" s="67"/>
      <c r="D52" s="67"/>
      <c r="E52" s="67"/>
      <c r="F52" s="67"/>
      <c r="G52" s="67"/>
      <c r="H52" s="67"/>
      <c r="I52" s="67"/>
      <c r="J52" s="67"/>
      <c r="K52" s="67"/>
      <c r="L52" s="67"/>
      <c r="M52" s="67"/>
    </row>
    <row r="53" spans="1:13" x14ac:dyDescent="0.25">
      <c r="A53" s="67"/>
      <c r="B53" s="67"/>
      <c r="C53" s="67"/>
      <c r="D53" s="67"/>
      <c r="E53" s="67"/>
      <c r="F53" s="67"/>
      <c r="G53" s="67"/>
      <c r="H53" s="67"/>
      <c r="I53" s="67"/>
      <c r="J53" s="67"/>
      <c r="K53" s="67"/>
      <c r="L53" s="67"/>
      <c r="M53" s="67"/>
    </row>
    <row r="54" spans="1:13" x14ac:dyDescent="0.25">
      <c r="A54" s="67"/>
      <c r="B54" s="67"/>
      <c r="C54" s="67"/>
      <c r="D54" s="67"/>
      <c r="E54" s="67"/>
      <c r="F54" s="67"/>
      <c r="G54" s="67"/>
      <c r="H54" s="67"/>
      <c r="I54" s="67"/>
      <c r="J54" s="67"/>
      <c r="K54" s="67"/>
      <c r="L54" s="67"/>
      <c r="M54" s="67"/>
    </row>
    <row r="55" spans="1:13" x14ac:dyDescent="0.25">
      <c r="A55" s="67"/>
      <c r="B55" s="67"/>
      <c r="C55" s="67"/>
      <c r="D55" s="67"/>
      <c r="E55" s="67"/>
      <c r="F55" s="67"/>
      <c r="G55" s="67"/>
      <c r="H55" s="67"/>
      <c r="I55" s="67"/>
      <c r="J55" s="67"/>
      <c r="K55" s="67"/>
      <c r="L55" s="67"/>
      <c r="M55" s="67"/>
    </row>
    <row r="56" spans="1:13" x14ac:dyDescent="0.25">
      <c r="A56" s="67"/>
      <c r="B56" s="67"/>
      <c r="C56" s="67"/>
      <c r="D56" s="67"/>
      <c r="E56" s="67"/>
      <c r="F56" s="67"/>
      <c r="G56" s="67"/>
      <c r="H56" s="67"/>
      <c r="I56" s="67"/>
      <c r="J56" s="67"/>
      <c r="K56" s="67"/>
      <c r="L56" s="67"/>
      <c r="M56" s="67"/>
    </row>
    <row r="57" spans="1:13" x14ac:dyDescent="0.25">
      <c r="A57" s="67"/>
      <c r="B57" s="67"/>
      <c r="C57" s="67"/>
      <c r="D57" s="67"/>
      <c r="E57" s="67"/>
      <c r="F57" s="67"/>
      <c r="G57" s="67"/>
      <c r="H57" s="67"/>
      <c r="I57" s="67"/>
      <c r="J57" s="67"/>
      <c r="K57" s="67"/>
      <c r="L57" s="67"/>
      <c r="M57" s="67"/>
    </row>
    <row r="58" spans="1:13" x14ac:dyDescent="0.25">
      <c r="A58" s="67"/>
      <c r="B58" s="67"/>
      <c r="C58" s="67"/>
      <c r="D58" s="67"/>
      <c r="E58" s="67"/>
      <c r="F58" s="67"/>
      <c r="G58" s="67"/>
      <c r="H58" s="67"/>
      <c r="I58" s="67"/>
      <c r="J58" s="67"/>
      <c r="K58" s="67"/>
      <c r="L58" s="67"/>
      <c r="M58" s="67"/>
    </row>
    <row r="59" spans="1:13" x14ac:dyDescent="0.25">
      <c r="A59" s="67"/>
      <c r="B59" s="67"/>
      <c r="C59" s="67"/>
      <c r="D59" s="67"/>
      <c r="E59" s="67"/>
      <c r="F59" s="67"/>
      <c r="G59" s="67"/>
      <c r="H59" s="67"/>
      <c r="I59" s="67"/>
      <c r="J59" s="67"/>
      <c r="K59" s="67"/>
      <c r="L59" s="67"/>
      <c r="M59" s="67"/>
    </row>
    <row r="60" spans="1:13" x14ac:dyDescent="0.25">
      <c r="A60" s="67"/>
      <c r="B60" s="67"/>
      <c r="C60" s="67"/>
      <c r="D60" s="67"/>
      <c r="E60" s="67"/>
      <c r="F60" s="67"/>
      <c r="G60" s="67"/>
      <c r="H60" s="67"/>
      <c r="I60" s="67"/>
      <c r="J60" s="67"/>
      <c r="K60" s="67"/>
      <c r="L60" s="67"/>
      <c r="M60" s="67"/>
    </row>
    <row r="61" spans="1:13" x14ac:dyDescent="0.25">
      <c r="A61" s="67"/>
      <c r="B61" s="67"/>
      <c r="C61" s="67"/>
      <c r="D61" s="67"/>
      <c r="E61" s="67"/>
      <c r="F61" s="67"/>
      <c r="G61" s="67"/>
      <c r="H61" s="67"/>
      <c r="I61" s="67"/>
      <c r="J61" s="67"/>
      <c r="K61" s="67"/>
      <c r="L61" s="67"/>
      <c r="M61" s="67"/>
    </row>
    <row r="62" spans="1:13" x14ac:dyDescent="0.25">
      <c r="A62" s="67"/>
      <c r="B62" s="67"/>
      <c r="C62" s="67"/>
      <c r="D62" s="67"/>
      <c r="E62" s="67"/>
      <c r="F62" s="67"/>
      <c r="G62" s="67"/>
      <c r="H62" s="67"/>
      <c r="I62" s="67"/>
      <c r="J62" s="67"/>
      <c r="K62" s="67"/>
      <c r="L62" s="67"/>
      <c r="M62" s="67"/>
    </row>
    <row r="63" spans="1:13" x14ac:dyDescent="0.25">
      <c r="A63" s="67"/>
      <c r="B63" s="67"/>
      <c r="C63" s="67"/>
      <c r="D63" s="67"/>
      <c r="E63" s="67"/>
      <c r="F63" s="67"/>
      <c r="G63" s="67"/>
      <c r="H63" s="67"/>
      <c r="I63" s="67"/>
      <c r="J63" s="67"/>
      <c r="K63" s="67"/>
      <c r="L63" s="67"/>
      <c r="M63" s="67"/>
    </row>
    <row r="64" spans="1:13" x14ac:dyDescent="0.25">
      <c r="A64" s="67"/>
      <c r="B64" s="67"/>
      <c r="C64" s="67"/>
      <c r="D64" s="67"/>
      <c r="E64" s="67"/>
      <c r="F64" s="67"/>
      <c r="G64" s="67"/>
      <c r="H64" s="67"/>
      <c r="I64" s="67"/>
      <c r="J64" s="67"/>
      <c r="K64" s="67"/>
      <c r="L64" s="67"/>
      <c r="M64" s="67"/>
    </row>
    <row r="65" spans="1:13" x14ac:dyDescent="0.25">
      <c r="A65" s="67"/>
      <c r="B65" s="67"/>
      <c r="C65" s="67"/>
      <c r="D65" s="67"/>
      <c r="E65" s="67"/>
      <c r="F65" s="67"/>
      <c r="G65" s="67"/>
      <c r="H65" s="67"/>
      <c r="I65" s="67"/>
      <c r="J65" s="67"/>
      <c r="K65" s="67"/>
      <c r="L65" s="67"/>
      <c r="M65" s="67"/>
    </row>
    <row r="66" spans="1:13" x14ac:dyDescent="0.25">
      <c r="A66" s="67"/>
      <c r="B66" s="67"/>
      <c r="C66" s="67"/>
      <c r="D66" s="67"/>
      <c r="E66" s="67"/>
      <c r="F66" s="67"/>
      <c r="G66" s="67"/>
      <c r="H66" s="67"/>
      <c r="I66" s="67"/>
      <c r="J66" s="67"/>
      <c r="K66" s="67"/>
      <c r="L66" s="67"/>
      <c r="M66" s="67"/>
    </row>
    <row r="67" spans="1:13" x14ac:dyDescent="0.25">
      <c r="A67" s="67"/>
      <c r="B67" s="67"/>
      <c r="C67" s="67"/>
      <c r="D67" s="67"/>
      <c r="E67" s="67"/>
      <c r="F67" s="67"/>
      <c r="G67" s="67"/>
      <c r="H67" s="67"/>
      <c r="I67" s="67"/>
      <c r="J67" s="67"/>
      <c r="K67" s="67"/>
      <c r="L67" s="67"/>
      <c r="M67" s="6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B80E9-55ED-4276-AE3E-40D3625EF4EB}">
  <dimension ref="A1:I51"/>
  <sheetViews>
    <sheetView topLeftCell="A9" zoomScale="80" zoomScaleNormal="80" workbookViewId="0">
      <selection activeCell="E24" sqref="E24"/>
    </sheetView>
  </sheetViews>
  <sheetFormatPr defaultColWidth="8.7109375" defaultRowHeight="15" x14ac:dyDescent="0.25"/>
  <cols>
    <col min="1" max="2" width="8.7109375" style="39"/>
    <col min="3" max="3" width="11.7109375" style="39" bestFit="1" customWidth="1"/>
    <col min="4" max="4" width="21.42578125" style="39" bestFit="1" customWidth="1"/>
    <col min="5" max="5" width="8.7109375" style="39"/>
    <col min="6" max="6" width="11.28515625" style="39" bestFit="1" customWidth="1"/>
    <col min="7" max="7" width="11.7109375" style="39" bestFit="1" customWidth="1"/>
    <col min="8" max="8" width="16.85546875" style="39" bestFit="1" customWidth="1"/>
    <col min="9" max="9" width="255.5703125" style="39" bestFit="1" customWidth="1"/>
    <col min="10" max="16384" width="8.7109375" style="39"/>
  </cols>
  <sheetData>
    <row r="1" spans="1:9" ht="15.75" x14ac:dyDescent="0.25">
      <c r="A1" s="48" t="s">
        <v>190</v>
      </c>
      <c r="B1" s="48"/>
      <c r="C1" s="44"/>
      <c r="D1" s="44"/>
      <c r="E1" s="44"/>
      <c r="F1" s="44"/>
      <c r="G1" s="44"/>
      <c r="H1" s="44"/>
    </row>
    <row r="2" spans="1:9" ht="15.75" x14ac:dyDescent="0.25">
      <c r="A2" s="49" t="s">
        <v>1</v>
      </c>
      <c r="B2" s="49"/>
      <c r="C2" s="44"/>
      <c r="D2" s="44"/>
      <c r="E2" s="44" t="s">
        <v>2</v>
      </c>
      <c r="F2" s="44"/>
      <c r="G2" s="44"/>
      <c r="H2" s="44" t="s">
        <v>3</v>
      </c>
    </row>
    <row r="3" spans="1:9" ht="15.75" x14ac:dyDescent="0.25">
      <c r="A3" s="50"/>
      <c r="B3" s="50"/>
      <c r="C3" s="45"/>
      <c r="D3" s="45"/>
      <c r="E3" s="21"/>
      <c r="F3" s="21"/>
      <c r="G3" s="21"/>
      <c r="H3" s="21"/>
    </row>
    <row r="4" spans="1:9" ht="15.75" x14ac:dyDescent="0.25">
      <c r="A4" s="21" t="s">
        <v>4</v>
      </c>
      <c r="B4" s="21" t="s">
        <v>601</v>
      </c>
      <c r="C4" s="41" t="s">
        <v>5</v>
      </c>
      <c r="D4" s="21" t="s">
        <v>6</v>
      </c>
      <c r="E4" s="21" t="s">
        <v>7</v>
      </c>
      <c r="F4" s="21" t="s">
        <v>8</v>
      </c>
      <c r="G4" s="21" t="s">
        <v>74</v>
      </c>
      <c r="H4" s="21" t="s">
        <v>9</v>
      </c>
      <c r="I4" s="39" t="s">
        <v>331</v>
      </c>
    </row>
    <row r="5" spans="1:9" ht="15.75" x14ac:dyDescent="0.25">
      <c r="A5" s="21">
        <v>1</v>
      </c>
      <c r="B5" s="21">
        <v>1</v>
      </c>
      <c r="C5" s="41">
        <v>37852</v>
      </c>
      <c r="D5" s="21" t="s">
        <v>193</v>
      </c>
      <c r="E5" s="21">
        <v>1</v>
      </c>
      <c r="F5" s="21" t="s">
        <v>191</v>
      </c>
      <c r="G5" s="21" t="s">
        <v>77</v>
      </c>
      <c r="H5" s="21" t="s">
        <v>76</v>
      </c>
      <c r="I5" s="42" t="s">
        <v>249</v>
      </c>
    </row>
    <row r="6" spans="1:9" ht="15.75" x14ac:dyDescent="0.25">
      <c r="A6" s="21">
        <v>2</v>
      </c>
      <c r="B6" s="21">
        <v>1</v>
      </c>
      <c r="C6" s="41">
        <v>37853</v>
      </c>
      <c r="D6" s="21" t="s">
        <v>194</v>
      </c>
      <c r="E6" s="21">
        <v>2</v>
      </c>
      <c r="F6" s="21" t="s">
        <v>191</v>
      </c>
      <c r="G6" s="21" t="s">
        <v>77</v>
      </c>
      <c r="H6" s="21" t="s">
        <v>76</v>
      </c>
      <c r="I6" s="42"/>
    </row>
    <row r="7" spans="1:9" ht="15.75" x14ac:dyDescent="0.25">
      <c r="A7" s="21">
        <v>3</v>
      </c>
      <c r="B7" s="21">
        <v>1</v>
      </c>
      <c r="C7" s="41">
        <v>37853</v>
      </c>
      <c r="D7" s="21" t="s">
        <v>195</v>
      </c>
      <c r="E7" s="21">
        <v>3</v>
      </c>
      <c r="F7" s="21" t="s">
        <v>196</v>
      </c>
      <c r="G7" s="21" t="s">
        <v>75</v>
      </c>
      <c r="H7" s="21" t="s">
        <v>76</v>
      </c>
      <c r="I7" s="42" t="s">
        <v>250</v>
      </c>
    </row>
    <row r="8" spans="1:9" ht="15.75" x14ac:dyDescent="0.25">
      <c r="A8" s="21">
        <v>4</v>
      </c>
      <c r="B8" s="21">
        <v>1</v>
      </c>
      <c r="C8" s="41">
        <v>37854</v>
      </c>
      <c r="D8" s="21" t="s">
        <v>197</v>
      </c>
      <c r="E8" s="21">
        <v>4</v>
      </c>
      <c r="F8" s="21" t="s">
        <v>198</v>
      </c>
      <c r="G8" s="21" t="s">
        <v>192</v>
      </c>
      <c r="H8" s="21" t="s">
        <v>76</v>
      </c>
      <c r="I8" s="42" t="s">
        <v>251</v>
      </c>
    </row>
    <row r="9" spans="1:9" ht="15.75" x14ac:dyDescent="0.25">
      <c r="A9" s="21">
        <v>5</v>
      </c>
      <c r="B9" s="21">
        <v>1</v>
      </c>
      <c r="C9" s="41">
        <v>37854</v>
      </c>
      <c r="D9" s="21" t="s">
        <v>199</v>
      </c>
      <c r="E9" s="21">
        <v>5</v>
      </c>
      <c r="F9" s="21" t="s">
        <v>198</v>
      </c>
      <c r="G9" s="21" t="s">
        <v>192</v>
      </c>
      <c r="H9" s="21" t="s">
        <v>76</v>
      </c>
      <c r="I9" s="42"/>
    </row>
    <row r="10" spans="1:9" ht="15.75" x14ac:dyDescent="0.25">
      <c r="A10" s="21">
        <v>6</v>
      </c>
      <c r="B10" s="21">
        <v>1</v>
      </c>
      <c r="C10" s="41">
        <v>37855</v>
      </c>
      <c r="D10" s="21" t="s">
        <v>200</v>
      </c>
      <c r="E10" s="21">
        <v>6</v>
      </c>
      <c r="F10" s="21" t="s">
        <v>1091</v>
      </c>
      <c r="G10" s="21" t="s">
        <v>81</v>
      </c>
      <c r="H10" s="21" t="s">
        <v>76</v>
      </c>
      <c r="I10" s="42" t="s">
        <v>252</v>
      </c>
    </row>
    <row r="11" spans="1:9" ht="15.75" x14ac:dyDescent="0.25">
      <c r="A11" s="21">
        <v>7</v>
      </c>
      <c r="B11" s="21">
        <v>1</v>
      </c>
      <c r="C11" s="41">
        <v>37855</v>
      </c>
      <c r="D11" s="21" t="s">
        <v>201</v>
      </c>
      <c r="E11" s="21">
        <v>7</v>
      </c>
      <c r="F11" s="21" t="s">
        <v>202</v>
      </c>
      <c r="G11" s="21" t="s">
        <v>79</v>
      </c>
      <c r="H11" s="21" t="s">
        <v>76</v>
      </c>
      <c r="I11" s="42" t="s">
        <v>253</v>
      </c>
    </row>
    <row r="12" spans="1:9" ht="15.75" x14ac:dyDescent="0.25">
      <c r="A12" s="21">
        <v>8</v>
      </c>
      <c r="B12" s="21">
        <v>2</v>
      </c>
      <c r="C12" s="41">
        <v>37866</v>
      </c>
      <c r="D12" s="21" t="s">
        <v>203</v>
      </c>
      <c r="E12" s="21">
        <v>1</v>
      </c>
      <c r="F12" s="21" t="s">
        <v>204</v>
      </c>
      <c r="G12" s="21" t="s">
        <v>77</v>
      </c>
      <c r="H12" s="21" t="s">
        <v>76</v>
      </c>
      <c r="I12" s="42" t="s">
        <v>254</v>
      </c>
    </row>
    <row r="13" spans="1:9" ht="15.75" x14ac:dyDescent="0.25">
      <c r="A13" s="21">
        <v>9</v>
      </c>
      <c r="B13" s="21">
        <v>2</v>
      </c>
      <c r="C13" s="41">
        <v>37867</v>
      </c>
      <c r="D13" s="21" t="s">
        <v>205</v>
      </c>
      <c r="E13" s="21">
        <v>2</v>
      </c>
      <c r="F13" s="21" t="s">
        <v>204</v>
      </c>
      <c r="G13" s="21" t="s">
        <v>77</v>
      </c>
      <c r="H13" s="21" t="s">
        <v>76</v>
      </c>
      <c r="I13" s="42" t="s">
        <v>255</v>
      </c>
    </row>
    <row r="14" spans="1:9" ht="15.75" x14ac:dyDescent="0.25">
      <c r="A14" s="21">
        <v>10</v>
      </c>
      <c r="B14" s="21">
        <v>2</v>
      </c>
      <c r="C14" s="41">
        <v>37867</v>
      </c>
      <c r="D14" s="21" t="s">
        <v>206</v>
      </c>
      <c r="E14" s="21">
        <v>3</v>
      </c>
      <c r="F14" s="21" t="s">
        <v>207</v>
      </c>
      <c r="G14" s="21" t="s">
        <v>75</v>
      </c>
      <c r="H14" s="21" t="s">
        <v>76</v>
      </c>
      <c r="I14" s="42" t="s">
        <v>256</v>
      </c>
    </row>
    <row r="15" spans="1:9" ht="15.75" x14ac:dyDescent="0.25">
      <c r="A15" s="21">
        <v>11</v>
      </c>
      <c r="B15" s="21">
        <v>2</v>
      </c>
      <c r="C15" s="41">
        <v>37868</v>
      </c>
      <c r="D15" s="21" t="s">
        <v>208</v>
      </c>
      <c r="E15" s="21">
        <v>4</v>
      </c>
      <c r="F15" s="21" t="s">
        <v>209</v>
      </c>
      <c r="G15" s="21" t="s">
        <v>81</v>
      </c>
      <c r="H15" s="21" t="s">
        <v>76</v>
      </c>
      <c r="I15" s="42" t="s">
        <v>257</v>
      </c>
    </row>
    <row r="16" spans="1:9" ht="15.75" x14ac:dyDescent="0.25">
      <c r="A16" s="21">
        <v>12</v>
      </c>
      <c r="B16" s="21">
        <v>2</v>
      </c>
      <c r="C16" s="41">
        <v>37868</v>
      </c>
      <c r="D16" s="21" t="s">
        <v>210</v>
      </c>
      <c r="E16" s="21">
        <v>5</v>
      </c>
      <c r="F16" s="21" t="s">
        <v>209</v>
      </c>
      <c r="G16" s="21" t="s">
        <v>192</v>
      </c>
      <c r="H16" s="21" t="s">
        <v>76</v>
      </c>
      <c r="I16" s="42" t="s">
        <v>258</v>
      </c>
    </row>
    <row r="17" spans="1:9" ht="15.75" x14ac:dyDescent="0.25">
      <c r="A17" s="21">
        <v>13</v>
      </c>
      <c r="B17" s="21">
        <v>2</v>
      </c>
      <c r="C17" s="41">
        <v>37868</v>
      </c>
      <c r="D17" s="21" t="s">
        <v>211</v>
      </c>
      <c r="E17" s="21">
        <v>6</v>
      </c>
      <c r="F17" s="21" t="s">
        <v>1092</v>
      </c>
      <c r="G17" s="21" t="s">
        <v>81</v>
      </c>
      <c r="H17" s="21" t="s">
        <v>76</v>
      </c>
      <c r="I17" s="42" t="s">
        <v>259</v>
      </c>
    </row>
    <row r="18" spans="1:9" ht="15.75" x14ac:dyDescent="0.25">
      <c r="A18" s="21">
        <v>14</v>
      </c>
      <c r="B18" s="21">
        <v>2</v>
      </c>
      <c r="C18" s="41">
        <v>37869</v>
      </c>
      <c r="D18" s="21" t="s">
        <v>212</v>
      </c>
      <c r="E18" s="21">
        <v>7</v>
      </c>
      <c r="F18" s="21" t="s">
        <v>140</v>
      </c>
      <c r="G18" s="21" t="s">
        <v>79</v>
      </c>
      <c r="H18" s="21" t="s">
        <v>76</v>
      </c>
      <c r="I18" s="42" t="s">
        <v>260</v>
      </c>
    </row>
    <row r="19" spans="1:9" ht="15.75" x14ac:dyDescent="0.25">
      <c r="A19" s="21">
        <v>15</v>
      </c>
      <c r="B19" s="21">
        <v>3</v>
      </c>
      <c r="C19" s="41">
        <v>37880</v>
      </c>
      <c r="D19" s="21" t="s">
        <v>213</v>
      </c>
      <c r="E19" s="21">
        <v>1</v>
      </c>
      <c r="F19" s="21" t="s">
        <v>191</v>
      </c>
      <c r="G19" s="21" t="s">
        <v>77</v>
      </c>
      <c r="H19" s="21" t="s">
        <v>76</v>
      </c>
      <c r="I19" s="42" t="s">
        <v>261</v>
      </c>
    </row>
    <row r="20" spans="1:9" ht="15.75" x14ac:dyDescent="0.25">
      <c r="A20" s="21">
        <v>16</v>
      </c>
      <c r="B20" s="21">
        <v>3</v>
      </c>
      <c r="C20" s="41">
        <v>37881</v>
      </c>
      <c r="D20" s="21" t="s">
        <v>214</v>
      </c>
      <c r="E20" s="21">
        <v>2</v>
      </c>
      <c r="F20" s="21" t="s">
        <v>191</v>
      </c>
      <c r="G20" s="21" t="s">
        <v>77</v>
      </c>
      <c r="H20" s="21" t="s">
        <v>76</v>
      </c>
      <c r="I20" s="42" t="s">
        <v>262</v>
      </c>
    </row>
    <row r="21" spans="1:9" ht="15.75" x14ac:dyDescent="0.25">
      <c r="A21" s="21">
        <v>17</v>
      </c>
      <c r="B21" s="21">
        <v>3</v>
      </c>
      <c r="C21" s="41">
        <v>37881</v>
      </c>
      <c r="D21" s="21" t="s">
        <v>215</v>
      </c>
      <c r="E21" s="21">
        <v>3</v>
      </c>
      <c r="F21" s="21" t="s">
        <v>216</v>
      </c>
      <c r="G21" s="21" t="s">
        <v>75</v>
      </c>
      <c r="H21" s="21" t="s">
        <v>76</v>
      </c>
      <c r="I21" s="42" t="s">
        <v>263</v>
      </c>
    </row>
    <row r="22" spans="1:9" ht="15.75" x14ac:dyDescent="0.25">
      <c r="A22" s="21">
        <v>18</v>
      </c>
      <c r="B22" s="21">
        <v>3</v>
      </c>
      <c r="C22" s="41">
        <v>37882</v>
      </c>
      <c r="D22" s="21" t="s">
        <v>217</v>
      </c>
      <c r="E22" s="21">
        <v>4</v>
      </c>
      <c r="F22" s="21" t="s">
        <v>218</v>
      </c>
      <c r="G22" s="21" t="s">
        <v>192</v>
      </c>
      <c r="H22" s="21" t="s">
        <v>76</v>
      </c>
      <c r="I22" s="42" t="s">
        <v>264</v>
      </c>
    </row>
    <row r="23" spans="1:9" ht="15.75" x14ac:dyDescent="0.25">
      <c r="A23" s="21">
        <v>19</v>
      </c>
      <c r="B23" s="21">
        <v>3</v>
      </c>
      <c r="C23" s="41">
        <v>37882</v>
      </c>
      <c r="D23" s="21" t="s">
        <v>219</v>
      </c>
      <c r="E23" s="21">
        <v>5</v>
      </c>
      <c r="F23" s="21" t="s">
        <v>218</v>
      </c>
      <c r="G23" s="21" t="s">
        <v>192</v>
      </c>
      <c r="H23" s="21" t="s">
        <v>76</v>
      </c>
      <c r="I23" s="42" t="s">
        <v>265</v>
      </c>
    </row>
    <row r="24" spans="1:9" ht="15.75" x14ac:dyDescent="0.25">
      <c r="A24" s="21">
        <v>20</v>
      </c>
      <c r="B24" s="21">
        <v>3</v>
      </c>
      <c r="C24" s="41">
        <v>37883</v>
      </c>
      <c r="D24" s="21" t="s">
        <v>220</v>
      </c>
      <c r="E24" s="21">
        <v>6</v>
      </c>
      <c r="F24" s="21" t="s">
        <v>221</v>
      </c>
      <c r="G24" s="21" t="s">
        <v>81</v>
      </c>
      <c r="H24" s="21" t="s">
        <v>76</v>
      </c>
      <c r="I24" s="42" t="s">
        <v>266</v>
      </c>
    </row>
    <row r="25" spans="1:9" ht="15.75" x14ac:dyDescent="0.25">
      <c r="A25" s="21">
        <v>21</v>
      </c>
      <c r="B25" s="21">
        <v>3</v>
      </c>
      <c r="C25" s="41">
        <v>37883</v>
      </c>
      <c r="D25" s="21" t="s">
        <v>222</v>
      </c>
      <c r="E25" s="21">
        <v>7</v>
      </c>
      <c r="F25" s="21" t="s">
        <v>223</v>
      </c>
      <c r="G25" s="21" t="s">
        <v>79</v>
      </c>
      <c r="H25" s="21" t="s">
        <v>76</v>
      </c>
      <c r="I25" s="42" t="s">
        <v>267</v>
      </c>
    </row>
    <row r="26" spans="1:9" ht="15.75" x14ac:dyDescent="0.25">
      <c r="A26" s="21">
        <v>22</v>
      </c>
      <c r="B26" s="21">
        <v>4</v>
      </c>
      <c r="C26" s="41">
        <v>37894</v>
      </c>
      <c r="D26" s="21" t="s">
        <v>224</v>
      </c>
      <c r="E26" s="21">
        <v>1</v>
      </c>
      <c r="F26" s="21" t="s">
        <v>144</v>
      </c>
      <c r="G26" s="21" t="s">
        <v>77</v>
      </c>
      <c r="H26" s="21" t="s">
        <v>76</v>
      </c>
      <c r="I26" s="42" t="s">
        <v>268</v>
      </c>
    </row>
    <row r="27" spans="1:9" ht="15.75" x14ac:dyDescent="0.25">
      <c r="A27" s="21">
        <v>23</v>
      </c>
      <c r="B27" s="21">
        <v>4</v>
      </c>
      <c r="C27" s="41">
        <v>37895</v>
      </c>
      <c r="D27" s="21" t="s">
        <v>225</v>
      </c>
      <c r="E27" s="21">
        <v>2</v>
      </c>
      <c r="F27" s="21" t="s">
        <v>144</v>
      </c>
      <c r="G27" s="21" t="s">
        <v>77</v>
      </c>
      <c r="H27" s="21" t="s">
        <v>76</v>
      </c>
      <c r="I27" s="42"/>
    </row>
    <row r="28" spans="1:9" ht="15.75" x14ac:dyDescent="0.25">
      <c r="A28" s="21">
        <v>24</v>
      </c>
      <c r="B28" s="21">
        <v>4</v>
      </c>
      <c r="C28" s="41">
        <v>37895</v>
      </c>
      <c r="D28" s="21" t="s">
        <v>226</v>
      </c>
      <c r="E28" s="21">
        <v>3</v>
      </c>
      <c r="F28" s="21" t="s">
        <v>227</v>
      </c>
      <c r="G28" s="21" t="s">
        <v>75</v>
      </c>
      <c r="H28" s="21" t="s">
        <v>76</v>
      </c>
      <c r="I28" s="42" t="s">
        <v>269</v>
      </c>
    </row>
    <row r="29" spans="1:9" ht="15.75" x14ac:dyDescent="0.25">
      <c r="A29" s="21">
        <v>25</v>
      </c>
      <c r="B29" s="21">
        <v>4</v>
      </c>
      <c r="C29" s="41">
        <v>37896</v>
      </c>
      <c r="D29" s="21" t="s">
        <v>228</v>
      </c>
      <c r="E29" s="21">
        <v>4</v>
      </c>
      <c r="F29" s="21" t="s">
        <v>218</v>
      </c>
      <c r="G29" s="21" t="s">
        <v>192</v>
      </c>
      <c r="H29" s="21" t="s">
        <v>76</v>
      </c>
      <c r="I29" s="42"/>
    </row>
    <row r="30" spans="1:9" ht="15.75" x14ac:dyDescent="0.25">
      <c r="A30" s="21">
        <v>26</v>
      </c>
      <c r="B30" s="21">
        <v>4</v>
      </c>
      <c r="C30" s="41">
        <v>37896</v>
      </c>
      <c r="D30" s="21" t="s">
        <v>229</v>
      </c>
      <c r="E30" s="21">
        <v>5</v>
      </c>
      <c r="F30" s="21" t="s">
        <v>218</v>
      </c>
      <c r="G30" s="21" t="s">
        <v>192</v>
      </c>
      <c r="H30" s="21" t="s">
        <v>76</v>
      </c>
      <c r="I30" s="42" t="s">
        <v>270</v>
      </c>
    </row>
    <row r="31" spans="1:9" ht="15.75" x14ac:dyDescent="0.25">
      <c r="A31" s="21">
        <v>27</v>
      </c>
      <c r="B31" s="21">
        <v>4</v>
      </c>
      <c r="C31" s="41">
        <v>37897</v>
      </c>
      <c r="D31" s="21" t="s">
        <v>230</v>
      </c>
      <c r="E31" s="21">
        <v>6</v>
      </c>
      <c r="F31" s="21" t="s">
        <v>1093</v>
      </c>
      <c r="G31" s="21" t="s">
        <v>81</v>
      </c>
      <c r="H31" s="21" t="s">
        <v>76</v>
      </c>
      <c r="I31" s="42" t="s">
        <v>271</v>
      </c>
    </row>
    <row r="32" spans="1:9" ht="15.75" x14ac:dyDescent="0.25">
      <c r="A32" s="21">
        <v>28</v>
      </c>
      <c r="B32" s="21">
        <v>5</v>
      </c>
      <c r="C32" s="41">
        <v>37908</v>
      </c>
      <c r="D32" s="21" t="s">
        <v>224</v>
      </c>
      <c r="E32" s="21">
        <v>1</v>
      </c>
      <c r="F32" s="21" t="s">
        <v>144</v>
      </c>
      <c r="G32" s="21" t="s">
        <v>77</v>
      </c>
      <c r="H32" s="21" t="s">
        <v>76</v>
      </c>
      <c r="I32" s="42" t="s">
        <v>272</v>
      </c>
    </row>
    <row r="33" spans="1:9" ht="15.75" x14ac:dyDescent="0.25">
      <c r="A33" s="21">
        <v>29</v>
      </c>
      <c r="B33" s="21">
        <v>5</v>
      </c>
      <c r="C33" s="41">
        <v>37909</v>
      </c>
      <c r="D33" s="21" t="s">
        <v>231</v>
      </c>
      <c r="E33" s="21">
        <v>2</v>
      </c>
      <c r="F33" s="21">
        <v>41</v>
      </c>
      <c r="G33" s="21" t="s">
        <v>77</v>
      </c>
      <c r="H33" s="21" t="s">
        <v>76</v>
      </c>
      <c r="I33" s="42"/>
    </row>
    <row r="34" spans="1:9" ht="15.75" x14ac:dyDescent="0.25">
      <c r="A34" s="21">
        <v>30</v>
      </c>
      <c r="B34" s="21">
        <v>5</v>
      </c>
      <c r="C34" s="41">
        <v>37909</v>
      </c>
      <c r="D34" s="21" t="s">
        <v>232</v>
      </c>
      <c r="E34" s="21">
        <v>3</v>
      </c>
      <c r="F34" s="21" t="s">
        <v>196</v>
      </c>
      <c r="G34" s="21" t="s">
        <v>75</v>
      </c>
      <c r="H34" s="21" t="s">
        <v>76</v>
      </c>
      <c r="I34" s="42" t="s">
        <v>273</v>
      </c>
    </row>
    <row r="35" spans="1:9" ht="15.75" x14ac:dyDescent="0.25">
      <c r="A35" s="21">
        <v>31</v>
      </c>
      <c r="B35" s="21">
        <v>5</v>
      </c>
      <c r="C35" s="41">
        <v>37910</v>
      </c>
      <c r="D35" s="21" t="s">
        <v>233</v>
      </c>
      <c r="E35" s="21">
        <v>4</v>
      </c>
      <c r="F35" s="21" t="s">
        <v>234</v>
      </c>
      <c r="G35" s="21" t="s">
        <v>192</v>
      </c>
      <c r="H35" s="21" t="s">
        <v>76</v>
      </c>
      <c r="I35" s="42"/>
    </row>
    <row r="36" spans="1:9" ht="15.75" x14ac:dyDescent="0.25">
      <c r="A36" s="21">
        <v>32</v>
      </c>
      <c r="B36" s="21">
        <v>5</v>
      </c>
      <c r="C36" s="41">
        <v>37910</v>
      </c>
      <c r="D36" s="21" t="s">
        <v>235</v>
      </c>
      <c r="E36" s="21">
        <v>5</v>
      </c>
      <c r="F36" s="21" t="s">
        <v>234</v>
      </c>
      <c r="G36" s="21" t="s">
        <v>192</v>
      </c>
      <c r="H36" s="21" t="s">
        <v>76</v>
      </c>
      <c r="I36" s="42" t="s">
        <v>274</v>
      </c>
    </row>
    <row r="37" spans="1:9" ht="15.75" x14ac:dyDescent="0.25">
      <c r="A37" s="21">
        <v>33</v>
      </c>
      <c r="B37" s="21">
        <v>5</v>
      </c>
      <c r="C37" s="41">
        <v>37911</v>
      </c>
      <c r="D37" s="21" t="s">
        <v>236</v>
      </c>
      <c r="E37" s="21">
        <v>6</v>
      </c>
      <c r="F37" s="21" t="s">
        <v>1094</v>
      </c>
      <c r="G37" s="21" t="s">
        <v>81</v>
      </c>
      <c r="H37" s="21" t="s">
        <v>76</v>
      </c>
      <c r="I37" s="42" t="s">
        <v>275</v>
      </c>
    </row>
    <row r="38" spans="1:9" ht="15.75" x14ac:dyDescent="0.25">
      <c r="A38" s="21">
        <v>34</v>
      </c>
      <c r="B38" s="21">
        <v>6</v>
      </c>
      <c r="C38" s="41">
        <v>37922</v>
      </c>
      <c r="D38" s="21" t="s">
        <v>237</v>
      </c>
      <c r="E38" s="21">
        <v>1</v>
      </c>
      <c r="F38" s="21" t="s">
        <v>204</v>
      </c>
      <c r="G38" s="21" t="s">
        <v>77</v>
      </c>
      <c r="H38" s="21" t="s">
        <v>76</v>
      </c>
      <c r="I38" s="42" t="s">
        <v>276</v>
      </c>
    </row>
    <row r="39" spans="1:9" ht="15.75" x14ac:dyDescent="0.25">
      <c r="A39" s="21">
        <v>35</v>
      </c>
      <c r="B39" s="21">
        <v>6</v>
      </c>
      <c r="C39" s="41">
        <v>37923</v>
      </c>
      <c r="D39" s="21" t="s">
        <v>238</v>
      </c>
      <c r="E39" s="21">
        <v>2</v>
      </c>
      <c r="F39" s="21" t="s">
        <v>204</v>
      </c>
      <c r="G39" s="21" t="s">
        <v>77</v>
      </c>
      <c r="H39" s="21" t="s">
        <v>76</v>
      </c>
      <c r="I39" s="42"/>
    </row>
    <row r="40" spans="1:9" ht="15.75" x14ac:dyDescent="0.25">
      <c r="A40" s="21">
        <v>36</v>
      </c>
      <c r="B40" s="21">
        <v>6</v>
      </c>
      <c r="C40" s="41">
        <v>37923</v>
      </c>
      <c r="D40" s="21" t="s">
        <v>239</v>
      </c>
      <c r="E40" s="21">
        <v>3</v>
      </c>
      <c r="F40" s="21" t="s">
        <v>196</v>
      </c>
      <c r="G40" s="21" t="s">
        <v>75</v>
      </c>
      <c r="H40" s="21" t="s">
        <v>76</v>
      </c>
      <c r="I40" s="42" t="s">
        <v>277</v>
      </c>
    </row>
    <row r="41" spans="1:9" ht="15.75" x14ac:dyDescent="0.25">
      <c r="A41" s="21">
        <v>37</v>
      </c>
      <c r="B41" s="21">
        <v>6</v>
      </c>
      <c r="C41" s="41">
        <v>37924</v>
      </c>
      <c r="D41" s="21" t="s">
        <v>240</v>
      </c>
      <c r="E41" s="21">
        <v>4</v>
      </c>
      <c r="F41" s="21" t="s">
        <v>218</v>
      </c>
      <c r="G41" s="21" t="s">
        <v>192</v>
      </c>
      <c r="H41" s="21" t="s">
        <v>76</v>
      </c>
      <c r="I41" s="42"/>
    </row>
    <row r="42" spans="1:9" ht="15.75" x14ac:dyDescent="0.25">
      <c r="A42" s="21">
        <v>38</v>
      </c>
      <c r="B42" s="21">
        <v>6</v>
      </c>
      <c r="C42" s="41">
        <v>37924</v>
      </c>
      <c r="D42" s="21" t="s">
        <v>241</v>
      </c>
      <c r="E42" s="21">
        <v>5</v>
      </c>
      <c r="F42" s="21" t="s">
        <v>218</v>
      </c>
      <c r="G42" s="21" t="s">
        <v>192</v>
      </c>
      <c r="H42" s="21" t="s">
        <v>76</v>
      </c>
      <c r="I42" s="42" t="s">
        <v>278</v>
      </c>
    </row>
    <row r="43" spans="1:9" ht="15.75" x14ac:dyDescent="0.25">
      <c r="A43" s="21">
        <v>39</v>
      </c>
      <c r="B43" s="21">
        <v>6</v>
      </c>
      <c r="C43" s="41">
        <v>37925</v>
      </c>
      <c r="D43" s="21" t="s">
        <v>242</v>
      </c>
      <c r="E43" s="21">
        <v>6</v>
      </c>
      <c r="F43" s="21" t="s">
        <v>1095</v>
      </c>
      <c r="G43" s="21" t="s">
        <v>81</v>
      </c>
      <c r="H43" s="21" t="s">
        <v>76</v>
      </c>
      <c r="I43" s="42"/>
    </row>
    <row r="44" spans="1:9" ht="15.75" x14ac:dyDescent="0.25">
      <c r="A44" s="21">
        <v>40</v>
      </c>
      <c r="B44" s="21">
        <v>7</v>
      </c>
      <c r="C44" s="41">
        <v>37939</v>
      </c>
      <c r="D44" s="21" t="s">
        <v>243</v>
      </c>
      <c r="E44" s="21">
        <v>1</v>
      </c>
      <c r="F44" s="21" t="s">
        <v>204</v>
      </c>
      <c r="G44" s="21" t="s">
        <v>77</v>
      </c>
      <c r="H44" s="21" t="s">
        <v>76</v>
      </c>
      <c r="I44" s="42"/>
    </row>
    <row r="45" spans="1:9" ht="15.75" x14ac:dyDescent="0.25">
      <c r="A45" s="21">
        <v>41</v>
      </c>
      <c r="B45" s="21">
        <v>7</v>
      </c>
      <c r="C45" s="41">
        <v>37937</v>
      </c>
      <c r="D45" s="21" t="s">
        <v>244</v>
      </c>
      <c r="E45" s="21">
        <v>2</v>
      </c>
      <c r="F45" s="21" t="s">
        <v>204</v>
      </c>
      <c r="G45" s="21" t="s">
        <v>77</v>
      </c>
      <c r="H45" s="21" t="s">
        <v>76</v>
      </c>
      <c r="I45" s="42" t="s">
        <v>279</v>
      </c>
    </row>
    <row r="46" spans="1:9" ht="15.75" x14ac:dyDescent="0.25">
      <c r="A46" s="21">
        <v>42</v>
      </c>
      <c r="B46" s="21">
        <v>7</v>
      </c>
      <c r="C46" s="41">
        <v>37937</v>
      </c>
      <c r="D46" s="21" t="s">
        <v>245</v>
      </c>
      <c r="E46" s="21">
        <v>3</v>
      </c>
      <c r="F46" s="21" t="s">
        <v>93</v>
      </c>
      <c r="G46" s="21" t="s">
        <v>75</v>
      </c>
      <c r="H46" s="21" t="s">
        <v>76</v>
      </c>
      <c r="I46" s="42" t="s">
        <v>280</v>
      </c>
    </row>
    <row r="47" spans="1:9" ht="15.75" x14ac:dyDescent="0.25">
      <c r="A47" s="21">
        <v>43</v>
      </c>
      <c r="B47" s="21">
        <v>7</v>
      </c>
      <c r="C47" s="41">
        <v>37938</v>
      </c>
      <c r="D47" s="21" t="s">
        <v>246</v>
      </c>
      <c r="E47" s="21">
        <v>4</v>
      </c>
      <c r="F47" s="21" t="s">
        <v>198</v>
      </c>
      <c r="G47" s="21" t="s">
        <v>192</v>
      </c>
      <c r="H47" s="21" t="s">
        <v>76</v>
      </c>
      <c r="I47" s="42"/>
    </row>
    <row r="48" spans="1:9" ht="15.75" x14ac:dyDescent="0.25">
      <c r="A48" s="21">
        <v>44</v>
      </c>
      <c r="B48" s="21">
        <v>7</v>
      </c>
      <c r="C48" s="41">
        <v>37938</v>
      </c>
      <c r="D48" s="21" t="s">
        <v>247</v>
      </c>
      <c r="E48" s="21">
        <v>5</v>
      </c>
      <c r="F48" s="21" t="s">
        <v>198</v>
      </c>
      <c r="G48" s="21" t="s">
        <v>192</v>
      </c>
      <c r="H48" s="21" t="s">
        <v>76</v>
      </c>
      <c r="I48" s="42"/>
    </row>
    <row r="49" spans="1:9" ht="15.75" x14ac:dyDescent="0.25">
      <c r="A49" s="21">
        <v>45</v>
      </c>
      <c r="B49" s="21">
        <v>7</v>
      </c>
      <c r="C49" s="41">
        <v>37939</v>
      </c>
      <c r="D49" s="21" t="s">
        <v>248</v>
      </c>
      <c r="E49" s="21">
        <v>6</v>
      </c>
      <c r="F49" s="21" t="s">
        <v>1096</v>
      </c>
      <c r="G49" s="21" t="s">
        <v>81</v>
      </c>
      <c r="H49" s="21" t="s">
        <v>76</v>
      </c>
      <c r="I49" s="42" t="s">
        <v>281</v>
      </c>
    </row>
    <row r="50" spans="1:9" ht="15.75" x14ac:dyDescent="0.25">
      <c r="I50" s="42"/>
    </row>
    <row r="51" spans="1:9" ht="15.75" x14ac:dyDescent="0.25">
      <c r="I51" s="4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0C2C5-A27C-4EC6-985D-576CDB8F9987}">
  <dimension ref="A1:I43"/>
  <sheetViews>
    <sheetView topLeftCell="A12" workbookViewId="0">
      <selection activeCell="E36" sqref="E36"/>
    </sheetView>
  </sheetViews>
  <sheetFormatPr defaultColWidth="8.7109375" defaultRowHeight="15" x14ac:dyDescent="0.25"/>
  <cols>
    <col min="1" max="2" width="8.7109375" style="39"/>
    <col min="3" max="3" width="10.140625" style="39" bestFit="1" customWidth="1"/>
    <col min="4" max="4" width="14.140625" style="39" bestFit="1" customWidth="1"/>
    <col min="5" max="6" width="8.7109375" style="39"/>
    <col min="7" max="7" width="14.85546875" style="39" bestFit="1" customWidth="1"/>
    <col min="8" max="8" width="20.28515625" style="39" customWidth="1"/>
    <col min="9" max="9" width="255.5703125" style="39" bestFit="1" customWidth="1"/>
    <col min="10" max="16384" width="8.7109375" style="39"/>
  </cols>
  <sheetData>
    <row r="1" spans="1:9" ht="15.75" x14ac:dyDescent="0.25">
      <c r="A1" s="48" t="s">
        <v>1073</v>
      </c>
      <c r="B1" s="48"/>
      <c r="C1" s="44"/>
      <c r="D1" s="44"/>
      <c r="E1" s="44"/>
      <c r="F1" s="44"/>
      <c r="G1" s="44"/>
      <c r="H1" s="44"/>
    </row>
    <row r="2" spans="1:9" ht="15.75" x14ac:dyDescent="0.25">
      <c r="A2" s="49" t="s">
        <v>1</v>
      </c>
      <c r="B2" s="49"/>
      <c r="C2" s="44"/>
      <c r="D2" s="44"/>
      <c r="E2" s="44" t="s">
        <v>2</v>
      </c>
      <c r="F2" s="44"/>
      <c r="G2" s="44"/>
      <c r="H2" s="44" t="s">
        <v>3</v>
      </c>
    </row>
    <row r="3" spans="1:9" ht="15.75" x14ac:dyDescent="0.25">
      <c r="A3" s="49"/>
      <c r="B3" s="49"/>
      <c r="C3" s="44"/>
      <c r="D3" s="44"/>
      <c r="E3" s="44"/>
      <c r="F3" s="44"/>
      <c r="G3" s="44"/>
      <c r="H3" s="44"/>
    </row>
    <row r="4" spans="1:9" s="174" customFormat="1" x14ac:dyDescent="0.25">
      <c r="A4" s="157" t="s">
        <v>4</v>
      </c>
      <c r="B4" s="157" t="s">
        <v>601</v>
      </c>
      <c r="C4" s="157" t="s">
        <v>5</v>
      </c>
      <c r="D4" s="157" t="s">
        <v>6</v>
      </c>
      <c r="E4" s="157" t="s">
        <v>7</v>
      </c>
      <c r="F4" s="157" t="s">
        <v>8</v>
      </c>
      <c r="G4" s="157" t="s">
        <v>74</v>
      </c>
      <c r="H4" s="157" t="s">
        <v>9</v>
      </c>
      <c r="I4" s="157" t="s">
        <v>331</v>
      </c>
    </row>
    <row r="5" spans="1:9" x14ac:dyDescent="0.25">
      <c r="A5" s="51">
        <v>1</v>
      </c>
      <c r="B5" s="51">
        <v>1</v>
      </c>
      <c r="C5" s="52">
        <v>38216</v>
      </c>
      <c r="D5" s="53" t="s">
        <v>284</v>
      </c>
      <c r="E5" s="51">
        <v>1</v>
      </c>
      <c r="F5" s="51">
        <v>42</v>
      </c>
      <c r="G5" s="51" t="s">
        <v>77</v>
      </c>
      <c r="H5" s="51" t="s">
        <v>76</v>
      </c>
      <c r="I5" s="39" t="s">
        <v>332</v>
      </c>
    </row>
    <row r="6" spans="1:9" x14ac:dyDescent="0.25">
      <c r="A6" s="51">
        <v>2</v>
      </c>
      <c r="B6" s="51">
        <v>1</v>
      </c>
      <c r="C6" s="52">
        <v>38217</v>
      </c>
      <c r="D6" s="53" t="s">
        <v>285</v>
      </c>
      <c r="E6" s="51">
        <v>2</v>
      </c>
      <c r="F6" s="51">
        <v>42</v>
      </c>
      <c r="G6" s="51" t="s">
        <v>77</v>
      </c>
      <c r="H6" s="51" t="s">
        <v>76</v>
      </c>
      <c r="I6" s="39" t="s">
        <v>333</v>
      </c>
    </row>
    <row r="7" spans="1:9" x14ac:dyDescent="0.25">
      <c r="A7" s="51">
        <v>3</v>
      </c>
      <c r="B7" s="51">
        <v>1</v>
      </c>
      <c r="C7" s="52">
        <v>38217</v>
      </c>
      <c r="D7" s="53" t="s">
        <v>286</v>
      </c>
      <c r="E7" s="51">
        <v>3</v>
      </c>
      <c r="F7" s="51">
        <v>75.599999999999994</v>
      </c>
      <c r="G7" s="51" t="s">
        <v>75</v>
      </c>
      <c r="H7" s="51" t="s">
        <v>76</v>
      </c>
      <c r="I7" s="39" t="s">
        <v>334</v>
      </c>
    </row>
    <row r="8" spans="1:9" x14ac:dyDescent="0.25">
      <c r="A8" s="51">
        <v>4</v>
      </c>
      <c r="B8" s="51">
        <v>1</v>
      </c>
      <c r="C8" s="52">
        <v>38218</v>
      </c>
      <c r="D8" s="53" t="s">
        <v>287</v>
      </c>
      <c r="E8" s="51">
        <v>4</v>
      </c>
      <c r="F8" s="51">
        <v>119</v>
      </c>
      <c r="G8" s="53" t="s">
        <v>78</v>
      </c>
      <c r="H8" s="51" t="s">
        <v>76</v>
      </c>
      <c r="I8" s="39" t="s">
        <v>333</v>
      </c>
    </row>
    <row r="9" spans="1:9" x14ac:dyDescent="0.25">
      <c r="A9" s="51">
        <v>5</v>
      </c>
      <c r="B9" s="51">
        <v>1</v>
      </c>
      <c r="C9" s="52">
        <v>38218</v>
      </c>
      <c r="D9" s="53" t="s">
        <v>288</v>
      </c>
      <c r="E9" s="51">
        <v>5</v>
      </c>
      <c r="F9" s="51">
        <v>119</v>
      </c>
      <c r="G9" s="53" t="s">
        <v>78</v>
      </c>
      <c r="H9" s="51" t="s">
        <v>76</v>
      </c>
    </row>
    <row r="10" spans="1:9" x14ac:dyDescent="0.25">
      <c r="A10" s="51">
        <v>6</v>
      </c>
      <c r="B10" s="51">
        <v>1</v>
      </c>
      <c r="C10" s="52">
        <v>38219</v>
      </c>
      <c r="D10" s="53" t="s">
        <v>289</v>
      </c>
      <c r="E10" s="51">
        <v>6</v>
      </c>
      <c r="F10" s="51" t="s">
        <v>290</v>
      </c>
      <c r="G10" s="53" t="s">
        <v>283</v>
      </c>
      <c r="H10" s="51" t="s">
        <v>76</v>
      </c>
    </row>
    <row r="11" spans="1:9" x14ac:dyDescent="0.25">
      <c r="A11" s="51">
        <v>7</v>
      </c>
      <c r="B11" s="51">
        <v>1</v>
      </c>
      <c r="C11" s="52">
        <v>38219</v>
      </c>
      <c r="D11" s="53" t="s">
        <v>291</v>
      </c>
      <c r="E11" s="51">
        <v>7</v>
      </c>
      <c r="F11" s="51">
        <v>223</v>
      </c>
      <c r="G11" s="51" t="s">
        <v>79</v>
      </c>
      <c r="H11" s="51" t="s">
        <v>76</v>
      </c>
    </row>
    <row r="12" spans="1:9" x14ac:dyDescent="0.25">
      <c r="A12" s="51">
        <v>8</v>
      </c>
      <c r="B12" s="51">
        <v>2</v>
      </c>
      <c r="C12" s="52">
        <v>38244</v>
      </c>
      <c r="D12" s="53" t="s">
        <v>282</v>
      </c>
      <c r="E12" s="51">
        <v>1</v>
      </c>
      <c r="F12" s="51">
        <v>42</v>
      </c>
      <c r="G12" s="51" t="s">
        <v>77</v>
      </c>
      <c r="H12" s="51" t="s">
        <v>76</v>
      </c>
    </row>
    <row r="13" spans="1:9" x14ac:dyDescent="0.25">
      <c r="A13" s="51">
        <v>9</v>
      </c>
      <c r="B13" s="51">
        <v>2</v>
      </c>
      <c r="C13" s="52">
        <v>38245</v>
      </c>
      <c r="D13" s="53" t="s">
        <v>292</v>
      </c>
      <c r="E13" s="51">
        <v>2</v>
      </c>
      <c r="F13" s="51">
        <v>42</v>
      </c>
      <c r="G13" s="51" t="s">
        <v>77</v>
      </c>
      <c r="H13" s="51" t="s">
        <v>76</v>
      </c>
    </row>
    <row r="14" spans="1:9" x14ac:dyDescent="0.25">
      <c r="A14" s="51">
        <v>10</v>
      </c>
      <c r="B14" s="51">
        <v>2</v>
      </c>
      <c r="C14" s="52">
        <v>38245</v>
      </c>
      <c r="D14" s="53" t="s">
        <v>293</v>
      </c>
      <c r="E14" s="51">
        <v>3</v>
      </c>
      <c r="F14" s="51">
        <v>28</v>
      </c>
      <c r="G14" s="51" t="s">
        <v>75</v>
      </c>
      <c r="H14" s="51" t="s">
        <v>76</v>
      </c>
      <c r="I14" s="39" t="s">
        <v>335</v>
      </c>
    </row>
    <row r="15" spans="1:9" x14ac:dyDescent="0.25">
      <c r="A15" s="51">
        <v>11</v>
      </c>
      <c r="B15" s="51">
        <v>2</v>
      </c>
      <c r="C15" s="52">
        <v>38246</v>
      </c>
      <c r="D15" s="53" t="s">
        <v>294</v>
      </c>
      <c r="E15" s="51">
        <v>4</v>
      </c>
      <c r="F15" s="51">
        <v>70</v>
      </c>
      <c r="G15" s="51" t="s">
        <v>295</v>
      </c>
      <c r="H15" s="51" t="s">
        <v>76</v>
      </c>
    </row>
    <row r="16" spans="1:9" x14ac:dyDescent="0.25">
      <c r="A16" s="51">
        <v>12</v>
      </c>
      <c r="B16" s="51">
        <v>2</v>
      </c>
      <c r="C16" s="52">
        <v>38246</v>
      </c>
      <c r="D16" s="53" t="s">
        <v>296</v>
      </c>
      <c r="E16" s="51">
        <v>5</v>
      </c>
      <c r="F16" s="51">
        <v>70</v>
      </c>
      <c r="G16" s="51" t="s">
        <v>295</v>
      </c>
      <c r="H16" s="51" t="s">
        <v>76</v>
      </c>
    </row>
    <row r="17" spans="1:9" x14ac:dyDescent="0.25">
      <c r="A17" s="51">
        <v>13</v>
      </c>
      <c r="B17" s="51">
        <v>2</v>
      </c>
      <c r="C17" s="52">
        <v>38247</v>
      </c>
      <c r="D17" s="53" t="s">
        <v>297</v>
      </c>
      <c r="E17" s="51">
        <v>6</v>
      </c>
      <c r="F17" s="51" t="s">
        <v>298</v>
      </c>
      <c r="G17" s="53" t="s">
        <v>283</v>
      </c>
      <c r="H17" s="51" t="s">
        <v>76</v>
      </c>
      <c r="I17" s="39" t="s">
        <v>336</v>
      </c>
    </row>
    <row r="18" spans="1:9" x14ac:dyDescent="0.25">
      <c r="A18" s="51">
        <v>14</v>
      </c>
      <c r="B18" s="51">
        <v>2</v>
      </c>
      <c r="C18" s="52">
        <v>38247</v>
      </c>
      <c r="D18" s="53" t="s">
        <v>299</v>
      </c>
      <c r="E18" s="51">
        <v>7</v>
      </c>
      <c r="F18" s="51">
        <v>236</v>
      </c>
      <c r="G18" s="51" t="s">
        <v>79</v>
      </c>
      <c r="H18" s="51" t="s">
        <v>76</v>
      </c>
    </row>
    <row r="19" spans="1:9" x14ac:dyDescent="0.25">
      <c r="A19" s="51">
        <v>15</v>
      </c>
      <c r="B19" s="51">
        <v>3</v>
      </c>
      <c r="C19" s="52">
        <v>38258</v>
      </c>
      <c r="D19" s="53" t="s">
        <v>300</v>
      </c>
      <c r="E19" s="51">
        <v>1</v>
      </c>
      <c r="F19" s="51">
        <v>42</v>
      </c>
      <c r="G19" s="51" t="s">
        <v>77</v>
      </c>
      <c r="H19" s="51" t="s">
        <v>76</v>
      </c>
    </row>
    <row r="20" spans="1:9" x14ac:dyDescent="0.25">
      <c r="A20" s="51">
        <v>16</v>
      </c>
      <c r="B20" s="51">
        <v>3</v>
      </c>
      <c r="C20" s="52">
        <v>38259</v>
      </c>
      <c r="D20" s="53" t="s">
        <v>301</v>
      </c>
      <c r="E20" s="51">
        <v>2</v>
      </c>
      <c r="F20" s="51">
        <v>42</v>
      </c>
      <c r="G20" s="51" t="s">
        <v>77</v>
      </c>
      <c r="H20" s="51" t="s">
        <v>76</v>
      </c>
    </row>
    <row r="21" spans="1:9" x14ac:dyDescent="0.25">
      <c r="A21" s="51">
        <v>17</v>
      </c>
      <c r="B21" s="51">
        <v>3</v>
      </c>
      <c r="C21" s="52">
        <v>38259</v>
      </c>
      <c r="D21" s="53" t="s">
        <v>302</v>
      </c>
      <c r="E21" s="51">
        <v>3</v>
      </c>
      <c r="F21" s="51">
        <v>28.8</v>
      </c>
      <c r="G21" s="51" t="s">
        <v>75</v>
      </c>
      <c r="H21" s="51" t="s">
        <v>76</v>
      </c>
    </row>
    <row r="22" spans="1:9" x14ac:dyDescent="0.25">
      <c r="A22" s="51">
        <v>18</v>
      </c>
      <c r="B22" s="51">
        <v>3</v>
      </c>
      <c r="C22" s="52">
        <v>38260</v>
      </c>
      <c r="D22" s="53" t="s">
        <v>303</v>
      </c>
      <c r="E22" s="51">
        <v>4</v>
      </c>
      <c r="F22" s="51">
        <v>70</v>
      </c>
      <c r="G22" s="51" t="s">
        <v>78</v>
      </c>
      <c r="H22" s="51" t="s">
        <v>76</v>
      </c>
      <c r="I22" s="39" t="s">
        <v>337</v>
      </c>
    </row>
    <row r="23" spans="1:9" x14ac:dyDescent="0.25">
      <c r="A23" s="51">
        <v>19</v>
      </c>
      <c r="B23" s="51">
        <v>3</v>
      </c>
      <c r="C23" s="52">
        <v>38260</v>
      </c>
      <c r="D23" s="53" t="s">
        <v>304</v>
      </c>
      <c r="E23" s="51">
        <v>5</v>
      </c>
      <c r="F23" s="51">
        <v>70</v>
      </c>
      <c r="G23" s="51" t="s">
        <v>78</v>
      </c>
      <c r="H23" s="51" t="s">
        <v>76</v>
      </c>
    </row>
    <row r="24" spans="1:9" x14ac:dyDescent="0.25">
      <c r="A24" s="51">
        <v>20</v>
      </c>
      <c r="B24" s="51">
        <v>3</v>
      </c>
      <c r="C24" s="52">
        <v>38261</v>
      </c>
      <c r="D24" s="53" t="s">
        <v>305</v>
      </c>
      <c r="E24" s="51">
        <v>6</v>
      </c>
      <c r="F24" s="51" t="s">
        <v>306</v>
      </c>
      <c r="G24" s="51" t="s">
        <v>307</v>
      </c>
      <c r="H24" s="51" t="s">
        <v>76</v>
      </c>
      <c r="I24" s="39" t="s">
        <v>338</v>
      </c>
    </row>
    <row r="25" spans="1:9" x14ac:dyDescent="0.25">
      <c r="A25" s="51">
        <v>21</v>
      </c>
      <c r="B25" s="51">
        <v>3</v>
      </c>
      <c r="C25" s="52">
        <v>38261</v>
      </c>
      <c r="D25" s="53" t="s">
        <v>308</v>
      </c>
      <c r="E25" s="51">
        <v>7</v>
      </c>
      <c r="F25" s="51">
        <v>260</v>
      </c>
      <c r="G25" s="51" t="s">
        <v>79</v>
      </c>
      <c r="H25" s="51" t="s">
        <v>76</v>
      </c>
    </row>
    <row r="26" spans="1:9" x14ac:dyDescent="0.25">
      <c r="A26" s="51">
        <v>22</v>
      </c>
      <c r="B26" s="51">
        <v>4</v>
      </c>
      <c r="C26" s="52">
        <v>38272</v>
      </c>
      <c r="D26" s="53" t="s">
        <v>309</v>
      </c>
      <c r="E26" s="51">
        <v>1</v>
      </c>
      <c r="F26" s="51">
        <v>42</v>
      </c>
      <c r="G26" s="51" t="s">
        <v>77</v>
      </c>
      <c r="H26" s="51" t="s">
        <v>76</v>
      </c>
    </row>
    <row r="27" spans="1:9" x14ac:dyDescent="0.25">
      <c r="A27" s="51">
        <v>23</v>
      </c>
      <c r="B27" s="51">
        <v>4</v>
      </c>
      <c r="C27" s="52">
        <v>38273</v>
      </c>
      <c r="D27" s="53" t="s">
        <v>310</v>
      </c>
      <c r="E27" s="51">
        <v>2</v>
      </c>
      <c r="F27" s="51">
        <v>42</v>
      </c>
      <c r="G27" s="51" t="s">
        <v>77</v>
      </c>
      <c r="H27" s="51" t="s">
        <v>76</v>
      </c>
    </row>
    <row r="28" spans="1:9" x14ac:dyDescent="0.25">
      <c r="A28" s="51">
        <v>24</v>
      </c>
      <c r="B28" s="51">
        <v>4</v>
      </c>
      <c r="C28" s="52">
        <v>38273</v>
      </c>
      <c r="D28" s="53" t="s">
        <v>311</v>
      </c>
      <c r="E28" s="51">
        <v>3</v>
      </c>
      <c r="F28" s="51">
        <v>30</v>
      </c>
      <c r="G28" s="51" t="s">
        <v>75</v>
      </c>
      <c r="H28" s="51" t="s">
        <v>76</v>
      </c>
    </row>
    <row r="29" spans="1:9" x14ac:dyDescent="0.25">
      <c r="A29" s="51">
        <v>25</v>
      </c>
      <c r="B29" s="51">
        <v>4</v>
      </c>
      <c r="C29" s="52">
        <v>38274</v>
      </c>
      <c r="D29" s="53" t="s">
        <v>312</v>
      </c>
      <c r="E29" s="51">
        <v>4</v>
      </c>
      <c r="F29" s="51">
        <v>71</v>
      </c>
      <c r="G29" s="51" t="s">
        <v>78</v>
      </c>
      <c r="H29" s="51" t="s">
        <v>76</v>
      </c>
    </row>
    <row r="30" spans="1:9" x14ac:dyDescent="0.25">
      <c r="A30" s="51">
        <v>26</v>
      </c>
      <c r="B30" s="51">
        <v>4</v>
      </c>
      <c r="C30" s="52">
        <v>38274</v>
      </c>
      <c r="D30" s="53" t="s">
        <v>313</v>
      </c>
      <c r="E30" s="51">
        <v>5</v>
      </c>
      <c r="F30" s="51">
        <v>71</v>
      </c>
      <c r="G30" s="51" t="s">
        <v>78</v>
      </c>
      <c r="H30" s="51" t="s">
        <v>76</v>
      </c>
    </row>
    <row r="31" spans="1:9" x14ac:dyDescent="0.25">
      <c r="A31" s="51">
        <v>27</v>
      </c>
      <c r="B31" s="51">
        <v>4</v>
      </c>
      <c r="C31" s="52">
        <v>38275</v>
      </c>
      <c r="D31" s="53" t="s">
        <v>314</v>
      </c>
      <c r="E31" s="51">
        <v>6</v>
      </c>
      <c r="F31" s="14" t="s">
        <v>315</v>
      </c>
      <c r="G31" s="14" t="s">
        <v>307</v>
      </c>
      <c r="H31" s="51" t="s">
        <v>76</v>
      </c>
    </row>
    <row r="32" spans="1:9" x14ac:dyDescent="0.25">
      <c r="A32" s="51">
        <v>28</v>
      </c>
      <c r="B32" s="69">
        <v>5</v>
      </c>
      <c r="C32" s="70">
        <v>38287</v>
      </c>
      <c r="D32" s="71" t="s">
        <v>316</v>
      </c>
      <c r="E32" s="69">
        <v>1</v>
      </c>
      <c r="F32" s="69">
        <v>63</v>
      </c>
      <c r="G32" s="69" t="s">
        <v>77</v>
      </c>
      <c r="H32" s="69" t="s">
        <v>76</v>
      </c>
      <c r="I32" s="64" t="s">
        <v>339</v>
      </c>
    </row>
    <row r="33" spans="1:9" x14ac:dyDescent="0.25">
      <c r="A33" s="51">
        <v>29</v>
      </c>
      <c r="B33" s="69">
        <v>5</v>
      </c>
      <c r="C33" s="70">
        <v>38287</v>
      </c>
      <c r="D33" s="71" t="s">
        <v>317</v>
      </c>
      <c r="E33" s="69">
        <v>2</v>
      </c>
      <c r="F33" s="69">
        <v>63</v>
      </c>
      <c r="G33" s="69" t="s">
        <v>77</v>
      </c>
      <c r="H33" s="69" t="s">
        <v>76</v>
      </c>
      <c r="I33" s="64" t="s">
        <v>340</v>
      </c>
    </row>
    <row r="34" spans="1:9" x14ac:dyDescent="0.25">
      <c r="A34" s="51">
        <v>30</v>
      </c>
      <c r="B34" s="69">
        <v>5</v>
      </c>
      <c r="C34" s="70">
        <v>38288</v>
      </c>
      <c r="D34" s="71" t="s">
        <v>318</v>
      </c>
      <c r="E34" s="69">
        <v>4</v>
      </c>
      <c r="F34" s="69">
        <v>83</v>
      </c>
      <c r="G34" s="69" t="s">
        <v>78</v>
      </c>
      <c r="H34" s="69" t="s">
        <v>76</v>
      </c>
      <c r="I34" s="64"/>
    </row>
    <row r="35" spans="1:9" x14ac:dyDescent="0.25">
      <c r="A35" s="51">
        <v>31</v>
      </c>
      <c r="B35" s="69">
        <v>5</v>
      </c>
      <c r="C35" s="70">
        <v>38288</v>
      </c>
      <c r="D35" s="71" t="s">
        <v>319</v>
      </c>
      <c r="E35" s="69">
        <v>5</v>
      </c>
      <c r="F35" s="69">
        <v>83</v>
      </c>
      <c r="G35" s="69" t="s">
        <v>78</v>
      </c>
      <c r="H35" s="69" t="s">
        <v>76</v>
      </c>
      <c r="I35" s="64" t="s">
        <v>341</v>
      </c>
    </row>
    <row r="36" spans="1:9" x14ac:dyDescent="0.25">
      <c r="A36" s="51">
        <v>32</v>
      </c>
      <c r="B36" s="69">
        <v>5</v>
      </c>
      <c r="C36" s="70">
        <v>38289</v>
      </c>
      <c r="D36" s="71" t="s">
        <v>320</v>
      </c>
      <c r="E36" s="69">
        <v>6</v>
      </c>
      <c r="F36" s="69">
        <v>83</v>
      </c>
      <c r="G36" s="69" t="s">
        <v>307</v>
      </c>
      <c r="H36" s="69" t="s">
        <v>76</v>
      </c>
      <c r="I36" s="64" t="s">
        <v>342</v>
      </c>
    </row>
    <row r="37" spans="1:9" x14ac:dyDescent="0.25">
      <c r="A37" s="51">
        <v>33</v>
      </c>
      <c r="B37" s="69">
        <v>5</v>
      </c>
      <c r="C37" s="70">
        <v>38294</v>
      </c>
      <c r="D37" s="71" t="s">
        <v>321</v>
      </c>
      <c r="E37" s="69">
        <v>3</v>
      </c>
      <c r="F37" s="69">
        <v>31</v>
      </c>
      <c r="G37" s="69" t="s">
        <v>75</v>
      </c>
      <c r="H37" s="69" t="s">
        <v>76</v>
      </c>
      <c r="I37" s="64" t="s">
        <v>343</v>
      </c>
    </row>
    <row r="38" spans="1:9" x14ac:dyDescent="0.25">
      <c r="A38" s="51">
        <v>34</v>
      </c>
      <c r="B38" s="69">
        <v>6</v>
      </c>
      <c r="C38" s="70">
        <v>38299</v>
      </c>
      <c r="D38" s="71" t="s">
        <v>322</v>
      </c>
      <c r="E38" s="69">
        <v>1</v>
      </c>
      <c r="F38" s="69">
        <v>40</v>
      </c>
      <c r="G38" s="69" t="s">
        <v>77</v>
      </c>
      <c r="H38" s="69" t="s">
        <v>76</v>
      </c>
      <c r="I38" s="64"/>
    </row>
    <row r="39" spans="1:9" x14ac:dyDescent="0.25">
      <c r="A39" s="51">
        <v>35</v>
      </c>
      <c r="B39" s="69">
        <v>6</v>
      </c>
      <c r="C39" s="70">
        <v>38300</v>
      </c>
      <c r="D39" s="69" t="s">
        <v>323</v>
      </c>
      <c r="E39" s="69">
        <v>2</v>
      </c>
      <c r="F39" s="69">
        <v>39</v>
      </c>
      <c r="G39" s="69" t="s">
        <v>77</v>
      </c>
      <c r="H39" s="69" t="s">
        <v>76</v>
      </c>
      <c r="I39" s="64" t="s">
        <v>344</v>
      </c>
    </row>
    <row r="40" spans="1:9" x14ac:dyDescent="0.25">
      <c r="A40" s="51">
        <v>36</v>
      </c>
      <c r="B40" s="69">
        <v>6</v>
      </c>
      <c r="C40" s="70">
        <v>38300</v>
      </c>
      <c r="D40" s="69" t="s">
        <v>324</v>
      </c>
      <c r="E40" s="69">
        <v>3</v>
      </c>
      <c r="F40" s="69">
        <v>30.8</v>
      </c>
      <c r="G40" s="69" t="s">
        <v>75</v>
      </c>
      <c r="H40" s="69" t="s">
        <v>76</v>
      </c>
      <c r="I40" s="64" t="s">
        <v>345</v>
      </c>
    </row>
    <row r="41" spans="1:9" x14ac:dyDescent="0.25">
      <c r="A41" s="51">
        <v>37</v>
      </c>
      <c r="B41" s="69">
        <v>6</v>
      </c>
      <c r="C41" s="70">
        <v>38301</v>
      </c>
      <c r="D41" s="69" t="s">
        <v>325</v>
      </c>
      <c r="E41" s="69">
        <v>4</v>
      </c>
      <c r="F41" s="69">
        <v>70</v>
      </c>
      <c r="G41" s="69" t="s">
        <v>326</v>
      </c>
      <c r="H41" s="69" t="s">
        <v>76</v>
      </c>
      <c r="I41" s="64" t="s">
        <v>346</v>
      </c>
    </row>
    <row r="42" spans="1:9" x14ac:dyDescent="0.25">
      <c r="A42" s="51">
        <v>38</v>
      </c>
      <c r="B42" s="69">
        <v>6</v>
      </c>
      <c r="C42" s="70">
        <v>38301</v>
      </c>
      <c r="D42" s="69" t="s">
        <v>327</v>
      </c>
      <c r="E42" s="69">
        <v>5</v>
      </c>
      <c r="F42" s="69" t="s">
        <v>328</v>
      </c>
      <c r="G42" s="69" t="s">
        <v>79</v>
      </c>
      <c r="H42" s="69" t="s">
        <v>76</v>
      </c>
      <c r="I42" s="64" t="s">
        <v>347</v>
      </c>
    </row>
    <row r="43" spans="1:9" x14ac:dyDescent="0.25">
      <c r="A43" s="51">
        <v>39</v>
      </c>
      <c r="B43" s="69">
        <v>6</v>
      </c>
      <c r="C43" s="70">
        <v>38303</v>
      </c>
      <c r="D43" s="69" t="s">
        <v>329</v>
      </c>
      <c r="E43" s="69">
        <v>6</v>
      </c>
      <c r="F43" s="69" t="s">
        <v>330</v>
      </c>
      <c r="G43" s="69" t="s">
        <v>307</v>
      </c>
      <c r="H43" s="69" t="s">
        <v>76</v>
      </c>
      <c r="I43" s="64" t="s">
        <v>348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F3813-79EE-41B8-9F3D-C108CE89CA9A}">
  <dimension ref="A1:L43"/>
  <sheetViews>
    <sheetView workbookViewId="0">
      <selection activeCell="B44" sqref="B44"/>
    </sheetView>
  </sheetViews>
  <sheetFormatPr defaultRowHeight="15.75" x14ac:dyDescent="0.25"/>
  <cols>
    <col min="1" max="2" width="9.28515625" style="102" bestFit="1" customWidth="1"/>
    <col min="3" max="3" width="11.28515625" style="102" bestFit="1" customWidth="1"/>
    <col min="4" max="4" width="9.140625" style="102"/>
    <col min="5" max="5" width="23.7109375" style="102" bestFit="1" customWidth="1"/>
    <col min="6" max="6" width="18.7109375" style="102" bestFit="1" customWidth="1"/>
    <col min="7" max="7" width="15.28515625" style="102" bestFit="1" customWidth="1"/>
    <col min="8" max="8" width="22.5703125" style="102" bestFit="1" customWidth="1"/>
    <col min="9" max="9" width="11.85546875" style="102" bestFit="1" customWidth="1"/>
    <col min="10" max="10" width="11.140625" style="102" bestFit="1" customWidth="1"/>
    <col min="11" max="11" width="11.42578125" style="102" bestFit="1" customWidth="1"/>
    <col min="12" max="13" width="36.140625" style="102" bestFit="1" customWidth="1"/>
    <col min="14" max="16384" width="9.140625" style="102"/>
  </cols>
  <sheetData>
    <row r="1" spans="1:12" x14ac:dyDescent="0.25">
      <c r="A1" s="48" t="s">
        <v>1075</v>
      </c>
      <c r="B1" s="48"/>
      <c r="C1" s="44"/>
      <c r="D1" s="44"/>
      <c r="E1" s="44"/>
      <c r="F1" s="44"/>
      <c r="G1" s="44"/>
      <c r="H1" s="44"/>
    </row>
    <row r="2" spans="1:12" x14ac:dyDescent="0.25">
      <c r="A2" s="49" t="s">
        <v>1</v>
      </c>
      <c r="B2" s="49"/>
      <c r="C2" s="44"/>
      <c r="D2" s="44"/>
      <c r="E2" s="44" t="s">
        <v>2</v>
      </c>
      <c r="F2" s="44"/>
      <c r="G2" s="44"/>
      <c r="H2" s="44" t="s">
        <v>3</v>
      </c>
    </row>
    <row r="3" spans="1:12" x14ac:dyDescent="0.25">
      <c r="A3" s="49"/>
      <c r="B3" s="49"/>
      <c r="C3" s="44"/>
      <c r="D3" s="44"/>
      <c r="E3" s="44"/>
      <c r="F3" s="44"/>
      <c r="G3" s="44"/>
      <c r="H3" s="44"/>
    </row>
    <row r="4" spans="1:12" x14ac:dyDescent="0.25">
      <c r="A4" s="99" t="s">
        <v>349</v>
      </c>
      <c r="B4" s="99" t="s">
        <v>601</v>
      </c>
      <c r="C4" s="99" t="s">
        <v>350</v>
      </c>
      <c r="D4" s="99" t="s">
        <v>351</v>
      </c>
      <c r="E4" s="99" t="s">
        <v>352</v>
      </c>
      <c r="F4" s="99" t="s">
        <v>353</v>
      </c>
      <c r="G4" s="99" t="s">
        <v>354</v>
      </c>
      <c r="H4" s="99" t="s">
        <v>355</v>
      </c>
      <c r="I4" s="99" t="s">
        <v>356</v>
      </c>
      <c r="J4" s="99" t="s">
        <v>357</v>
      </c>
      <c r="K4" s="99" t="s">
        <v>358</v>
      </c>
      <c r="L4" s="99" t="s">
        <v>331</v>
      </c>
    </row>
    <row r="5" spans="1:12" x14ac:dyDescent="0.25">
      <c r="A5" s="111">
        <v>1</v>
      </c>
      <c r="B5" s="111">
        <v>1</v>
      </c>
      <c r="C5" s="113">
        <v>38572</v>
      </c>
      <c r="D5" s="111" t="s">
        <v>366</v>
      </c>
      <c r="E5" s="111" t="s">
        <v>368</v>
      </c>
      <c r="F5" s="111">
        <v>39.4</v>
      </c>
      <c r="G5" s="111" t="s">
        <v>77</v>
      </c>
      <c r="H5" s="111">
        <v>1.1000000000000001</v>
      </c>
      <c r="I5" s="111">
        <v>1.4</v>
      </c>
      <c r="J5" s="121">
        <v>0.44097222222222227</v>
      </c>
      <c r="K5" s="121">
        <v>0.60972222222222217</v>
      </c>
      <c r="L5" s="111"/>
    </row>
    <row r="6" spans="1:12" x14ac:dyDescent="0.25">
      <c r="A6" s="167">
        <v>2</v>
      </c>
      <c r="B6" s="167">
        <v>1</v>
      </c>
      <c r="C6" s="168">
        <v>38573</v>
      </c>
      <c r="D6" s="167" t="s">
        <v>367</v>
      </c>
      <c r="E6" s="167" t="s">
        <v>369</v>
      </c>
      <c r="F6" s="167">
        <v>39</v>
      </c>
      <c r="G6" s="167" t="s">
        <v>77</v>
      </c>
      <c r="H6" s="169">
        <v>0.9</v>
      </c>
      <c r="I6" s="169">
        <v>1.2</v>
      </c>
      <c r="J6" s="170">
        <v>0.39583333333333331</v>
      </c>
      <c r="K6" s="170">
        <v>0.52083333333333337</v>
      </c>
      <c r="L6" s="167"/>
    </row>
    <row r="7" spans="1:12" x14ac:dyDescent="0.25">
      <c r="A7" s="167">
        <v>3</v>
      </c>
      <c r="B7" s="167">
        <v>1</v>
      </c>
      <c r="C7" s="168">
        <v>38573</v>
      </c>
      <c r="D7" s="167" t="s">
        <v>365</v>
      </c>
      <c r="E7" s="167" t="s">
        <v>370</v>
      </c>
      <c r="F7" s="167">
        <v>192</v>
      </c>
      <c r="G7" s="167" t="s">
        <v>75</v>
      </c>
      <c r="H7" s="169">
        <v>1.3</v>
      </c>
      <c r="I7" s="169">
        <v>1.4</v>
      </c>
      <c r="J7" s="170">
        <v>0.44791666666666669</v>
      </c>
      <c r="K7" s="170">
        <v>0.52083333333333337</v>
      </c>
      <c r="L7" s="167"/>
    </row>
    <row r="8" spans="1:12" x14ac:dyDescent="0.25">
      <c r="A8" s="111">
        <v>4</v>
      </c>
      <c r="B8" s="167">
        <v>1</v>
      </c>
      <c r="C8" s="168">
        <v>38574</v>
      </c>
      <c r="D8" s="167" t="s">
        <v>360</v>
      </c>
      <c r="E8" s="167" t="s">
        <v>371</v>
      </c>
      <c r="F8" s="167">
        <v>233.2</v>
      </c>
      <c r="G8" s="167" t="s">
        <v>78</v>
      </c>
      <c r="H8" s="169">
        <v>1.3</v>
      </c>
      <c r="I8" s="169">
        <v>1.3</v>
      </c>
      <c r="J8" s="170">
        <v>0.41666666666666669</v>
      </c>
      <c r="K8" s="170">
        <v>0.56944444444444442</v>
      </c>
      <c r="L8" s="167"/>
    </row>
    <row r="9" spans="1:12" x14ac:dyDescent="0.25">
      <c r="A9" s="167">
        <v>5</v>
      </c>
      <c r="B9" s="167">
        <v>1</v>
      </c>
      <c r="C9" s="168">
        <v>38574</v>
      </c>
      <c r="D9" s="167" t="s">
        <v>361</v>
      </c>
      <c r="E9" s="167" t="s">
        <v>372</v>
      </c>
      <c r="F9" s="167">
        <v>232.3</v>
      </c>
      <c r="G9" s="167" t="s">
        <v>78</v>
      </c>
      <c r="H9" s="169">
        <v>1.4</v>
      </c>
      <c r="I9" s="169">
        <v>1.4</v>
      </c>
      <c r="J9" s="170">
        <v>0.3979166666666667</v>
      </c>
      <c r="K9" s="170">
        <v>0.46736111111111112</v>
      </c>
      <c r="L9" s="167"/>
    </row>
    <row r="10" spans="1:12" x14ac:dyDescent="0.25">
      <c r="A10" s="167">
        <v>6</v>
      </c>
      <c r="B10" s="167">
        <v>1</v>
      </c>
      <c r="C10" s="168">
        <v>38575</v>
      </c>
      <c r="D10" s="167" t="s">
        <v>363</v>
      </c>
      <c r="E10" s="167" t="s">
        <v>373</v>
      </c>
      <c r="F10" s="167">
        <v>232</v>
      </c>
      <c r="G10" s="167" t="s">
        <v>79</v>
      </c>
      <c r="H10" s="169">
        <v>1</v>
      </c>
      <c r="I10" s="169">
        <v>0.9</v>
      </c>
      <c r="J10" s="170">
        <v>0.47222222222222227</v>
      </c>
      <c r="K10" s="170">
        <v>0.61458333333333337</v>
      </c>
      <c r="L10" s="167"/>
    </row>
    <row r="11" spans="1:12" x14ac:dyDescent="0.25">
      <c r="A11" s="111">
        <v>7</v>
      </c>
      <c r="B11" s="167">
        <v>1</v>
      </c>
      <c r="C11" s="168">
        <v>38575</v>
      </c>
      <c r="D11" s="167" t="s">
        <v>359</v>
      </c>
      <c r="E11" s="167" t="s">
        <v>374</v>
      </c>
      <c r="F11" s="167">
        <v>233.2</v>
      </c>
      <c r="G11" s="167" t="s">
        <v>79</v>
      </c>
      <c r="H11" s="169">
        <v>1.6</v>
      </c>
      <c r="I11" s="169">
        <v>1.4</v>
      </c>
      <c r="J11" s="170">
        <v>0.39583333333333331</v>
      </c>
      <c r="K11" s="170">
        <v>0.5</v>
      </c>
      <c r="L11" s="167"/>
    </row>
    <row r="12" spans="1:12" x14ac:dyDescent="0.25">
      <c r="A12" s="167">
        <v>8</v>
      </c>
      <c r="B12" s="167">
        <v>2</v>
      </c>
      <c r="C12" s="168">
        <v>38607</v>
      </c>
      <c r="D12" s="167" t="s">
        <v>366</v>
      </c>
      <c r="E12" s="167" t="s">
        <v>372</v>
      </c>
      <c r="F12" s="167">
        <v>42</v>
      </c>
      <c r="G12" s="167" t="s">
        <v>77</v>
      </c>
      <c r="H12" s="169">
        <v>1.2</v>
      </c>
      <c r="I12" s="169">
        <v>1.3</v>
      </c>
      <c r="J12" s="170">
        <v>0.43402777777777773</v>
      </c>
      <c r="K12" s="170">
        <v>0.54236111111111118</v>
      </c>
      <c r="L12" s="167"/>
    </row>
    <row r="13" spans="1:12" x14ac:dyDescent="0.25">
      <c r="A13" s="167">
        <v>9</v>
      </c>
      <c r="B13" s="167">
        <v>2</v>
      </c>
      <c r="C13" s="168">
        <v>38609</v>
      </c>
      <c r="D13" s="167" t="s">
        <v>367</v>
      </c>
      <c r="E13" s="167" t="s">
        <v>375</v>
      </c>
      <c r="F13" s="167">
        <v>42</v>
      </c>
      <c r="G13" s="167" t="s">
        <v>77</v>
      </c>
      <c r="H13" s="169">
        <v>1.8</v>
      </c>
      <c r="I13" s="169">
        <v>1.2</v>
      </c>
      <c r="J13" s="170">
        <v>0.40277777777777773</v>
      </c>
      <c r="K13" s="170">
        <v>0.52430555555555558</v>
      </c>
      <c r="L13" s="167"/>
    </row>
    <row r="14" spans="1:12" x14ac:dyDescent="0.25">
      <c r="A14" s="111">
        <v>10</v>
      </c>
      <c r="B14" s="167">
        <v>2</v>
      </c>
      <c r="C14" s="168">
        <v>38609</v>
      </c>
      <c r="D14" s="167" t="s">
        <v>365</v>
      </c>
      <c r="E14" s="167" t="s">
        <v>370</v>
      </c>
      <c r="F14" s="167">
        <v>25</v>
      </c>
      <c r="G14" s="167" t="s">
        <v>75</v>
      </c>
      <c r="H14" s="169">
        <v>1.6</v>
      </c>
      <c r="I14" s="169">
        <v>1.5</v>
      </c>
      <c r="J14" s="170">
        <v>0.41666666666666669</v>
      </c>
      <c r="K14" s="170">
        <v>0.59722222222222221</v>
      </c>
      <c r="L14" s="167"/>
    </row>
    <row r="15" spans="1:12" x14ac:dyDescent="0.25">
      <c r="A15" s="167">
        <v>11</v>
      </c>
      <c r="B15" s="167">
        <v>2</v>
      </c>
      <c r="C15" s="168">
        <v>38610</v>
      </c>
      <c r="D15" s="167" t="s">
        <v>360</v>
      </c>
      <c r="E15" s="167" t="s">
        <v>376</v>
      </c>
      <c r="F15" s="167">
        <v>66</v>
      </c>
      <c r="G15" s="167" t="s">
        <v>78</v>
      </c>
      <c r="H15" s="169">
        <v>1.1000000000000001</v>
      </c>
      <c r="I15" s="169">
        <v>1.1000000000000001</v>
      </c>
      <c r="J15" s="170">
        <v>0.39444444444444443</v>
      </c>
      <c r="K15" s="170">
        <v>0.57291666666666663</v>
      </c>
      <c r="L15" s="167"/>
    </row>
    <row r="16" spans="1:12" x14ac:dyDescent="0.25">
      <c r="A16" s="167">
        <v>12</v>
      </c>
      <c r="B16" s="167">
        <v>2</v>
      </c>
      <c r="C16" s="168">
        <v>38610</v>
      </c>
      <c r="D16" s="167" t="s">
        <v>361</v>
      </c>
      <c r="E16" s="167" t="s">
        <v>377</v>
      </c>
      <c r="F16" s="167">
        <v>67</v>
      </c>
      <c r="G16" s="167" t="s">
        <v>78</v>
      </c>
      <c r="H16" s="169">
        <v>1.5</v>
      </c>
      <c r="I16" s="169">
        <v>1.3</v>
      </c>
      <c r="J16" s="170">
        <v>0.41666666666666669</v>
      </c>
      <c r="K16" s="170">
        <v>0.5083333333333333</v>
      </c>
      <c r="L16" s="167"/>
    </row>
    <row r="17" spans="1:12" x14ac:dyDescent="0.25">
      <c r="A17" s="111">
        <v>13</v>
      </c>
      <c r="B17" s="167">
        <v>2</v>
      </c>
      <c r="C17" s="168">
        <v>38611</v>
      </c>
      <c r="D17" s="167" t="s">
        <v>363</v>
      </c>
      <c r="E17" s="167" t="s">
        <v>378</v>
      </c>
      <c r="F17" s="167" t="s">
        <v>379</v>
      </c>
      <c r="G17" s="167" t="s">
        <v>364</v>
      </c>
      <c r="H17" s="169">
        <v>1.7</v>
      </c>
      <c r="I17" s="169">
        <v>2.1</v>
      </c>
      <c r="J17" s="172" t="s">
        <v>380</v>
      </c>
      <c r="K17" s="170">
        <v>0.64583333333333337</v>
      </c>
      <c r="L17" s="167"/>
    </row>
    <row r="18" spans="1:12" x14ac:dyDescent="0.25">
      <c r="A18" s="167">
        <v>14</v>
      </c>
      <c r="B18" s="167">
        <v>2</v>
      </c>
      <c r="C18" s="168">
        <v>38611</v>
      </c>
      <c r="D18" s="167" t="s">
        <v>359</v>
      </c>
      <c r="E18" s="167" t="s">
        <v>381</v>
      </c>
      <c r="F18" s="167">
        <v>262</v>
      </c>
      <c r="G18" s="172" t="s">
        <v>79</v>
      </c>
      <c r="H18" s="169">
        <v>1.6</v>
      </c>
      <c r="I18" s="169">
        <v>1.2</v>
      </c>
      <c r="J18" s="172" t="s">
        <v>382</v>
      </c>
      <c r="K18" s="170">
        <v>0.52083333333333337</v>
      </c>
      <c r="L18" s="167"/>
    </row>
    <row r="19" spans="1:12" x14ac:dyDescent="0.25">
      <c r="A19" s="167">
        <v>15</v>
      </c>
      <c r="B19" s="167">
        <v>3</v>
      </c>
      <c r="C19" s="168">
        <v>38622</v>
      </c>
      <c r="D19" s="167" t="s">
        <v>366</v>
      </c>
      <c r="E19" s="167" t="s">
        <v>383</v>
      </c>
      <c r="F19" s="167">
        <v>42</v>
      </c>
      <c r="G19" s="173" t="s">
        <v>77</v>
      </c>
      <c r="H19" s="169">
        <v>1.5</v>
      </c>
      <c r="I19" s="171">
        <v>3.3</v>
      </c>
      <c r="J19" s="172" t="s">
        <v>384</v>
      </c>
      <c r="K19" s="170">
        <v>0.56180555555555556</v>
      </c>
      <c r="L19" s="167"/>
    </row>
    <row r="20" spans="1:12" x14ac:dyDescent="0.25">
      <c r="A20" s="111">
        <v>16</v>
      </c>
      <c r="B20" s="167">
        <v>3</v>
      </c>
      <c r="C20" s="168">
        <v>38623</v>
      </c>
      <c r="D20" s="167" t="s">
        <v>367</v>
      </c>
      <c r="E20" s="167" t="s">
        <v>385</v>
      </c>
      <c r="F20" s="167">
        <v>42</v>
      </c>
      <c r="G20" s="172" t="s">
        <v>77</v>
      </c>
      <c r="H20" s="169">
        <v>1.5</v>
      </c>
      <c r="I20" s="169">
        <v>1.8</v>
      </c>
      <c r="J20" s="172" t="s">
        <v>386</v>
      </c>
      <c r="K20" s="170">
        <v>0.54166666666666663</v>
      </c>
      <c r="L20" s="167" t="s">
        <v>419</v>
      </c>
    </row>
    <row r="21" spans="1:12" x14ac:dyDescent="0.25">
      <c r="A21" s="167">
        <v>17</v>
      </c>
      <c r="B21" s="167">
        <v>3</v>
      </c>
      <c r="C21" s="168">
        <v>38623</v>
      </c>
      <c r="D21" s="167" t="s">
        <v>365</v>
      </c>
      <c r="E21" s="167" t="s">
        <v>387</v>
      </c>
      <c r="F21" s="167">
        <v>25.2</v>
      </c>
      <c r="G21" s="172" t="s">
        <v>75</v>
      </c>
      <c r="H21" s="169">
        <v>1.4</v>
      </c>
      <c r="I21" s="169">
        <v>1.3</v>
      </c>
      <c r="J21" s="172" t="s">
        <v>388</v>
      </c>
      <c r="K21" s="170">
        <v>0.58333333333333337</v>
      </c>
      <c r="L21" s="167"/>
    </row>
    <row r="22" spans="1:12" x14ac:dyDescent="0.25">
      <c r="A22" s="167">
        <v>18</v>
      </c>
      <c r="B22" s="167">
        <v>3</v>
      </c>
      <c r="C22" s="168">
        <v>38624</v>
      </c>
      <c r="D22" s="167" t="s">
        <v>360</v>
      </c>
      <c r="E22" s="167" t="s">
        <v>389</v>
      </c>
      <c r="F22" s="167">
        <v>68</v>
      </c>
      <c r="G22" s="172" t="s">
        <v>78</v>
      </c>
      <c r="H22" s="169">
        <v>1.6</v>
      </c>
      <c r="I22" s="169">
        <v>1.2</v>
      </c>
      <c r="J22" s="172" t="s">
        <v>388</v>
      </c>
      <c r="K22" s="170">
        <v>0.59583333333333333</v>
      </c>
      <c r="L22" s="167"/>
    </row>
    <row r="23" spans="1:12" x14ac:dyDescent="0.25">
      <c r="A23" s="111">
        <v>19</v>
      </c>
      <c r="B23" s="167">
        <v>3</v>
      </c>
      <c r="C23" s="168">
        <v>38624</v>
      </c>
      <c r="D23" s="167" t="s">
        <v>361</v>
      </c>
      <c r="E23" s="167" t="s">
        <v>390</v>
      </c>
      <c r="F23" s="167">
        <v>68.25</v>
      </c>
      <c r="G23" s="172" t="s">
        <v>78</v>
      </c>
      <c r="H23" s="169">
        <v>1.1000000000000001</v>
      </c>
      <c r="I23" s="169">
        <v>0.9</v>
      </c>
      <c r="J23" s="172" t="s">
        <v>391</v>
      </c>
      <c r="K23" s="170">
        <v>0.61111111111111105</v>
      </c>
      <c r="L23" s="167"/>
    </row>
    <row r="24" spans="1:12" x14ac:dyDescent="0.25">
      <c r="A24" s="167">
        <v>20</v>
      </c>
      <c r="B24" s="167">
        <v>3</v>
      </c>
      <c r="C24" s="168">
        <v>38625</v>
      </c>
      <c r="D24" s="167" t="s">
        <v>363</v>
      </c>
      <c r="E24" s="167" t="s">
        <v>392</v>
      </c>
      <c r="F24" s="167" t="s">
        <v>393</v>
      </c>
      <c r="G24" s="172" t="s">
        <v>364</v>
      </c>
      <c r="H24" s="169">
        <v>1.1000000000000001</v>
      </c>
      <c r="I24" s="169">
        <v>1.4</v>
      </c>
      <c r="J24" s="172" t="s">
        <v>394</v>
      </c>
      <c r="K24" s="170">
        <v>0.62986111111111109</v>
      </c>
      <c r="L24" s="167"/>
    </row>
    <row r="25" spans="1:12" x14ac:dyDescent="0.25">
      <c r="A25" s="167">
        <v>21</v>
      </c>
      <c r="B25" s="167">
        <v>3</v>
      </c>
      <c r="C25" s="168">
        <v>38625</v>
      </c>
      <c r="D25" s="167" t="s">
        <v>359</v>
      </c>
      <c r="E25" s="167" t="s">
        <v>395</v>
      </c>
      <c r="F25" s="167">
        <v>250</v>
      </c>
      <c r="G25" s="172" t="s">
        <v>79</v>
      </c>
      <c r="H25" s="169">
        <v>2.1</v>
      </c>
      <c r="I25" s="169">
        <v>1.5</v>
      </c>
      <c r="J25" s="172" t="s">
        <v>396</v>
      </c>
      <c r="K25" s="170">
        <v>0.53125</v>
      </c>
      <c r="L25" s="167"/>
    </row>
    <row r="26" spans="1:12" x14ac:dyDescent="0.25">
      <c r="A26" s="111">
        <v>22</v>
      </c>
      <c r="B26" s="167">
        <v>4</v>
      </c>
      <c r="C26" s="168">
        <v>38636</v>
      </c>
      <c r="D26" s="167" t="s">
        <v>366</v>
      </c>
      <c r="E26" s="167" t="s">
        <v>397</v>
      </c>
      <c r="F26" s="167">
        <v>41</v>
      </c>
      <c r="G26" s="172" t="s">
        <v>77</v>
      </c>
      <c r="H26" s="169">
        <v>1</v>
      </c>
      <c r="I26" s="169">
        <v>1.6</v>
      </c>
      <c r="J26" s="172" t="s">
        <v>398</v>
      </c>
      <c r="K26" s="170">
        <v>0.59722222222222221</v>
      </c>
      <c r="L26" s="167"/>
    </row>
    <row r="27" spans="1:12" x14ac:dyDescent="0.25">
      <c r="A27" s="167">
        <v>23</v>
      </c>
      <c r="B27" s="167">
        <v>4</v>
      </c>
      <c r="C27" s="168">
        <v>38637</v>
      </c>
      <c r="D27" s="167" t="s">
        <v>367</v>
      </c>
      <c r="E27" s="167" t="s">
        <v>399</v>
      </c>
      <c r="F27" s="167">
        <v>41</v>
      </c>
      <c r="G27" s="172" t="s">
        <v>77</v>
      </c>
      <c r="H27" s="169">
        <v>1.5</v>
      </c>
      <c r="I27" s="169">
        <v>1.7</v>
      </c>
      <c r="J27" s="172" t="s">
        <v>388</v>
      </c>
      <c r="K27" s="170">
        <v>0.67708333333333337</v>
      </c>
      <c r="L27" s="167" t="s">
        <v>420</v>
      </c>
    </row>
    <row r="28" spans="1:12" x14ac:dyDescent="0.25">
      <c r="A28" s="167">
        <v>24</v>
      </c>
      <c r="B28" s="167">
        <v>4</v>
      </c>
      <c r="C28" s="168">
        <v>38637</v>
      </c>
      <c r="D28" s="167" t="s">
        <v>365</v>
      </c>
      <c r="E28" s="167" t="s">
        <v>400</v>
      </c>
      <c r="F28" s="167">
        <v>32.75</v>
      </c>
      <c r="G28" s="167" t="s">
        <v>75</v>
      </c>
      <c r="H28" s="169">
        <v>1.5</v>
      </c>
      <c r="I28" s="169">
        <v>3.6</v>
      </c>
      <c r="J28" s="170">
        <v>0.45416666666666666</v>
      </c>
      <c r="K28" s="170">
        <v>0.61111111111111105</v>
      </c>
      <c r="L28" s="167"/>
    </row>
    <row r="29" spans="1:12" x14ac:dyDescent="0.25">
      <c r="A29" s="111">
        <v>25</v>
      </c>
      <c r="B29" s="167">
        <v>4</v>
      </c>
      <c r="C29" s="168">
        <v>38638</v>
      </c>
      <c r="D29" s="167" t="s">
        <v>360</v>
      </c>
      <c r="E29" s="167" t="s">
        <v>401</v>
      </c>
      <c r="F29" s="167">
        <v>73</v>
      </c>
      <c r="G29" s="167" t="s">
        <v>78</v>
      </c>
      <c r="H29" s="169">
        <v>1.1000000000000001</v>
      </c>
      <c r="I29" s="169">
        <v>1.3</v>
      </c>
      <c r="J29" s="170">
        <v>0.41666666666666669</v>
      </c>
      <c r="K29" s="170">
        <v>0.59375</v>
      </c>
      <c r="L29" s="167" t="s">
        <v>421</v>
      </c>
    </row>
    <row r="30" spans="1:12" x14ac:dyDescent="0.25">
      <c r="A30" s="167">
        <v>26</v>
      </c>
      <c r="B30" s="167">
        <v>4</v>
      </c>
      <c r="C30" s="168">
        <v>38638</v>
      </c>
      <c r="D30" s="167" t="s">
        <v>361</v>
      </c>
      <c r="E30" s="167" t="s">
        <v>402</v>
      </c>
      <c r="F30" s="167">
        <v>73</v>
      </c>
      <c r="G30" s="167" t="s">
        <v>78</v>
      </c>
      <c r="H30" s="169">
        <v>1.3</v>
      </c>
      <c r="I30" s="169">
        <v>1.1000000000000001</v>
      </c>
      <c r="J30" s="170">
        <v>0.44791666666666669</v>
      </c>
      <c r="K30" s="170">
        <v>0.66666666666666663</v>
      </c>
      <c r="L30" s="167"/>
    </row>
    <row r="31" spans="1:12" x14ac:dyDescent="0.25">
      <c r="A31" s="167">
        <v>27</v>
      </c>
      <c r="B31" s="167">
        <v>4</v>
      </c>
      <c r="C31" s="168">
        <v>38638</v>
      </c>
      <c r="D31" s="167" t="s">
        <v>363</v>
      </c>
      <c r="E31" s="167" t="s">
        <v>403</v>
      </c>
      <c r="F31" s="167" t="s">
        <v>404</v>
      </c>
      <c r="G31" s="167" t="s">
        <v>364</v>
      </c>
      <c r="H31" s="169">
        <v>1.2</v>
      </c>
      <c r="I31" s="169">
        <v>1.9</v>
      </c>
      <c r="J31" s="170">
        <v>0.41249999999999998</v>
      </c>
      <c r="K31" s="170">
        <v>0.62361111111111112</v>
      </c>
      <c r="L31" s="167"/>
    </row>
    <row r="32" spans="1:12" x14ac:dyDescent="0.25">
      <c r="A32" s="111">
        <v>28</v>
      </c>
      <c r="B32" s="167">
        <v>5</v>
      </c>
      <c r="C32" s="168">
        <v>38650</v>
      </c>
      <c r="D32" s="167" t="s">
        <v>366</v>
      </c>
      <c r="E32" s="167" t="s">
        <v>405</v>
      </c>
      <c r="F32" s="167">
        <v>40</v>
      </c>
      <c r="G32" s="172" t="s">
        <v>77</v>
      </c>
      <c r="H32" s="169">
        <v>1.1000000000000001</v>
      </c>
      <c r="I32" s="169">
        <v>1.8</v>
      </c>
      <c r="J32" s="170">
        <v>0.42708333333333331</v>
      </c>
      <c r="K32" s="170">
        <v>0.60138888888888886</v>
      </c>
      <c r="L32" s="167"/>
    </row>
    <row r="33" spans="1:12" x14ac:dyDescent="0.25">
      <c r="A33" s="167">
        <v>29</v>
      </c>
      <c r="B33" s="167">
        <v>5</v>
      </c>
      <c r="C33" s="168">
        <v>38650</v>
      </c>
      <c r="D33" s="167" t="s">
        <v>367</v>
      </c>
      <c r="E33" s="167" t="s">
        <v>406</v>
      </c>
      <c r="F33" s="167">
        <v>40</v>
      </c>
      <c r="G33" s="172" t="s">
        <v>77</v>
      </c>
      <c r="H33" s="169">
        <v>1.3</v>
      </c>
      <c r="I33" s="169">
        <v>1.3</v>
      </c>
      <c r="J33" s="170">
        <v>0.42708333333333331</v>
      </c>
      <c r="K33" s="170">
        <v>0.61111111111111105</v>
      </c>
      <c r="L33" s="167"/>
    </row>
    <row r="34" spans="1:12" x14ac:dyDescent="0.25">
      <c r="A34" s="167">
        <v>30</v>
      </c>
      <c r="B34" s="167">
        <v>5</v>
      </c>
      <c r="C34" s="168">
        <v>38651</v>
      </c>
      <c r="D34" s="167" t="s">
        <v>365</v>
      </c>
      <c r="E34" s="167" t="s">
        <v>407</v>
      </c>
      <c r="F34" s="167">
        <v>32.4</v>
      </c>
      <c r="G34" s="172" t="s">
        <v>75</v>
      </c>
      <c r="H34" s="169">
        <v>1.7</v>
      </c>
      <c r="I34" s="169">
        <v>1.1000000000000001</v>
      </c>
      <c r="J34" s="170">
        <v>0.42291666666666666</v>
      </c>
      <c r="K34" s="170">
        <v>0.63541666666666663</v>
      </c>
      <c r="L34" s="167" t="s">
        <v>422</v>
      </c>
    </row>
    <row r="35" spans="1:12" x14ac:dyDescent="0.25">
      <c r="A35" s="111">
        <v>31</v>
      </c>
      <c r="B35" s="167">
        <v>5</v>
      </c>
      <c r="C35" s="168">
        <v>38651</v>
      </c>
      <c r="D35" s="167" t="s">
        <v>360</v>
      </c>
      <c r="E35" s="167" t="s">
        <v>408</v>
      </c>
      <c r="F35" s="167">
        <v>74</v>
      </c>
      <c r="G35" s="167" t="s">
        <v>78</v>
      </c>
      <c r="H35" s="169">
        <v>1.5</v>
      </c>
      <c r="I35" s="169">
        <v>1.1000000000000001</v>
      </c>
      <c r="J35" s="170">
        <v>0.44444444444444442</v>
      </c>
      <c r="K35" s="170">
        <v>0.59722222222222221</v>
      </c>
      <c r="L35" s="167" t="s">
        <v>423</v>
      </c>
    </row>
    <row r="36" spans="1:12" x14ac:dyDescent="0.25">
      <c r="A36" s="167">
        <v>32</v>
      </c>
      <c r="B36" s="167">
        <v>5</v>
      </c>
      <c r="C36" s="168">
        <v>38653</v>
      </c>
      <c r="D36" s="167" t="s">
        <v>361</v>
      </c>
      <c r="E36" s="167" t="s">
        <v>409</v>
      </c>
      <c r="F36" s="167">
        <v>73</v>
      </c>
      <c r="G36" s="167" t="s">
        <v>78</v>
      </c>
      <c r="H36" s="169">
        <v>1.9</v>
      </c>
      <c r="I36" s="169">
        <v>1.8</v>
      </c>
      <c r="J36" s="170">
        <v>0.4201388888888889</v>
      </c>
      <c r="K36" s="170">
        <v>0.54027777777777775</v>
      </c>
      <c r="L36" s="167"/>
    </row>
    <row r="37" spans="1:12" x14ac:dyDescent="0.25">
      <c r="A37" s="167">
        <v>33</v>
      </c>
      <c r="B37" s="167">
        <v>5</v>
      </c>
      <c r="C37" s="168">
        <v>38653</v>
      </c>
      <c r="D37" s="167" t="s">
        <v>363</v>
      </c>
      <c r="E37" s="167" t="s">
        <v>410</v>
      </c>
      <c r="F37" s="167" t="s">
        <v>404</v>
      </c>
      <c r="G37" s="167" t="s">
        <v>364</v>
      </c>
      <c r="H37" s="169">
        <v>1.2</v>
      </c>
      <c r="I37" s="169">
        <v>1.6</v>
      </c>
      <c r="J37" s="170">
        <v>0.40277777777777773</v>
      </c>
      <c r="K37" s="170">
        <v>0.59375</v>
      </c>
      <c r="L37" s="167" t="s">
        <v>424</v>
      </c>
    </row>
    <row r="38" spans="1:12" x14ac:dyDescent="0.25">
      <c r="A38" s="111">
        <v>34</v>
      </c>
      <c r="B38" s="167">
        <v>6</v>
      </c>
      <c r="C38" s="168">
        <v>38663</v>
      </c>
      <c r="D38" s="167" t="s">
        <v>366</v>
      </c>
      <c r="E38" s="167" t="s">
        <v>411</v>
      </c>
      <c r="F38" s="167">
        <v>42</v>
      </c>
      <c r="G38" s="167" t="s">
        <v>77</v>
      </c>
      <c r="H38" s="169">
        <v>1.2</v>
      </c>
      <c r="I38" s="169">
        <v>1.2</v>
      </c>
      <c r="J38" s="170">
        <v>0.41875000000000001</v>
      </c>
      <c r="K38" s="170">
        <v>0.51249999999999996</v>
      </c>
      <c r="L38" s="167"/>
    </row>
    <row r="39" spans="1:12" x14ac:dyDescent="0.25">
      <c r="A39" s="167">
        <v>35</v>
      </c>
      <c r="B39" s="167">
        <v>6</v>
      </c>
      <c r="C39" s="168">
        <v>38666</v>
      </c>
      <c r="D39" s="167" t="s">
        <v>367</v>
      </c>
      <c r="E39" s="167" t="s">
        <v>413</v>
      </c>
      <c r="F39" s="167">
        <v>45</v>
      </c>
      <c r="G39" s="167" t="s">
        <v>77</v>
      </c>
      <c r="H39" s="169">
        <v>1.5</v>
      </c>
      <c r="I39" s="169">
        <v>1.4</v>
      </c>
      <c r="J39" s="170">
        <v>0.4145833333333333</v>
      </c>
      <c r="K39" s="170">
        <v>0.52222222222222225</v>
      </c>
      <c r="L39" s="167"/>
    </row>
    <row r="40" spans="1:12" x14ac:dyDescent="0.25">
      <c r="A40" s="167">
        <v>36</v>
      </c>
      <c r="B40" s="167">
        <v>6</v>
      </c>
      <c r="C40" s="168">
        <v>38666</v>
      </c>
      <c r="D40" s="167" t="s">
        <v>365</v>
      </c>
      <c r="E40" s="167" t="s">
        <v>414</v>
      </c>
      <c r="F40" s="167">
        <v>35</v>
      </c>
      <c r="G40" s="172" t="s">
        <v>75</v>
      </c>
      <c r="H40" s="169">
        <v>2.9</v>
      </c>
      <c r="I40" s="169">
        <v>2</v>
      </c>
      <c r="J40" s="170">
        <v>0.44374999999999998</v>
      </c>
      <c r="K40" s="170">
        <v>0.56874999999999998</v>
      </c>
      <c r="L40" s="167"/>
    </row>
    <row r="41" spans="1:12" x14ac:dyDescent="0.25">
      <c r="A41" s="111">
        <v>37</v>
      </c>
      <c r="B41" s="167">
        <v>6</v>
      </c>
      <c r="C41" s="168">
        <v>38670</v>
      </c>
      <c r="D41" s="167" t="s">
        <v>360</v>
      </c>
      <c r="E41" s="167" t="s">
        <v>415</v>
      </c>
      <c r="F41" s="167">
        <v>292</v>
      </c>
      <c r="G41" s="167" t="s">
        <v>79</v>
      </c>
      <c r="H41" s="169">
        <v>1.3</v>
      </c>
      <c r="I41" s="169">
        <v>0.7</v>
      </c>
      <c r="J41" s="170">
        <v>0.40625</v>
      </c>
      <c r="K41" s="170">
        <v>0.53472222222222221</v>
      </c>
      <c r="L41" s="167" t="s">
        <v>425</v>
      </c>
    </row>
    <row r="42" spans="1:12" x14ac:dyDescent="0.25">
      <c r="A42" s="167">
        <v>38</v>
      </c>
      <c r="B42" s="167">
        <v>6</v>
      </c>
      <c r="C42" s="168">
        <v>38670</v>
      </c>
      <c r="D42" s="167" t="s">
        <v>361</v>
      </c>
      <c r="E42" s="167" t="s">
        <v>416</v>
      </c>
      <c r="F42" s="167">
        <v>76</v>
      </c>
      <c r="G42" s="167" t="s">
        <v>78</v>
      </c>
      <c r="H42" s="169" t="s">
        <v>412</v>
      </c>
      <c r="I42" s="169" t="s">
        <v>412</v>
      </c>
      <c r="J42" s="170">
        <v>0.41041666666666665</v>
      </c>
      <c r="K42" s="170">
        <v>0.5180555555555556</v>
      </c>
      <c r="L42" s="167" t="s">
        <v>426</v>
      </c>
    </row>
    <row r="43" spans="1:12" x14ac:dyDescent="0.25">
      <c r="A43" s="167">
        <v>39</v>
      </c>
      <c r="B43" s="167">
        <v>6</v>
      </c>
      <c r="C43" s="168">
        <v>38671</v>
      </c>
      <c r="D43" s="167" t="s">
        <v>363</v>
      </c>
      <c r="E43" s="167" t="s">
        <v>417</v>
      </c>
      <c r="F43" s="167" t="s">
        <v>418</v>
      </c>
      <c r="G43" s="167" t="s">
        <v>364</v>
      </c>
      <c r="H43" s="169">
        <v>1.4</v>
      </c>
      <c r="I43" s="169">
        <v>1.7</v>
      </c>
      <c r="J43" s="170">
        <v>0.46875</v>
      </c>
      <c r="K43" s="170">
        <v>0.67708333333333337</v>
      </c>
      <c r="L43" s="167" t="s">
        <v>427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CE625-61B5-439C-AF80-55396139207A}">
  <dimension ref="A1:L30"/>
  <sheetViews>
    <sheetView workbookViewId="0">
      <selection activeCell="D23" sqref="D23"/>
    </sheetView>
  </sheetViews>
  <sheetFormatPr defaultRowHeight="15" x14ac:dyDescent="0.25"/>
  <cols>
    <col min="1" max="2" width="9.28515625" bestFit="1" customWidth="1"/>
    <col min="3" max="3" width="11.28515625" bestFit="1" customWidth="1"/>
    <col min="6" max="6" width="15.7109375" bestFit="1" customWidth="1"/>
    <col min="8" max="8" width="22" bestFit="1" customWidth="1"/>
    <col min="9" max="9" width="10.5703125" bestFit="1" customWidth="1"/>
    <col min="10" max="10" width="10.42578125" bestFit="1" customWidth="1"/>
    <col min="11" max="11" width="10" bestFit="1" customWidth="1"/>
    <col min="12" max="12" width="74" bestFit="1" customWidth="1"/>
    <col min="13" max="13" width="63.42578125" customWidth="1"/>
  </cols>
  <sheetData>
    <row r="1" spans="1:12" ht="15.75" x14ac:dyDescent="0.25">
      <c r="A1" s="48" t="s">
        <v>1074</v>
      </c>
      <c r="B1" s="48"/>
      <c r="C1" s="44"/>
      <c r="D1" s="44"/>
      <c r="E1" s="44"/>
      <c r="F1" s="44"/>
      <c r="G1" s="44"/>
      <c r="H1" s="44"/>
      <c r="I1" s="102"/>
      <c r="J1" s="102"/>
      <c r="K1" s="102"/>
      <c r="L1" s="102"/>
    </row>
    <row r="2" spans="1:12" ht="15.75" x14ac:dyDescent="0.25">
      <c r="A2" s="49" t="s">
        <v>1</v>
      </c>
      <c r="B2" s="49"/>
      <c r="C2" s="44"/>
      <c r="D2" s="44"/>
      <c r="E2" s="44" t="s">
        <v>2</v>
      </c>
      <c r="F2" s="44"/>
      <c r="G2" s="44"/>
      <c r="H2" s="44" t="s">
        <v>3</v>
      </c>
      <c r="I2" s="102"/>
      <c r="J2" s="102"/>
      <c r="K2" s="102"/>
      <c r="L2" s="102"/>
    </row>
    <row r="3" spans="1:12" s="166" customFormat="1" ht="15.75" x14ac:dyDescent="0.25">
      <c r="A3" s="99" t="s">
        <v>349</v>
      </c>
      <c r="B3" s="99" t="s">
        <v>601</v>
      </c>
      <c r="C3" s="99" t="s">
        <v>350</v>
      </c>
      <c r="D3" s="99" t="s">
        <v>351</v>
      </c>
      <c r="E3" s="99" t="s">
        <v>352</v>
      </c>
      <c r="F3" s="99" t="s">
        <v>353</v>
      </c>
      <c r="G3" s="99" t="s">
        <v>354</v>
      </c>
      <c r="H3" s="99" t="s">
        <v>355</v>
      </c>
      <c r="I3" s="99" t="s">
        <v>356</v>
      </c>
      <c r="J3" s="99" t="s">
        <v>357</v>
      </c>
      <c r="K3" s="99" t="s">
        <v>358</v>
      </c>
      <c r="L3" s="99" t="s">
        <v>331</v>
      </c>
    </row>
    <row r="4" spans="1:12" ht="15.75" x14ac:dyDescent="0.25">
      <c r="A4" s="167">
        <v>1</v>
      </c>
      <c r="B4" s="167">
        <v>1</v>
      </c>
      <c r="C4" s="168">
        <v>38957</v>
      </c>
      <c r="D4" s="167" t="s">
        <v>366</v>
      </c>
      <c r="E4" s="167" t="s">
        <v>428</v>
      </c>
      <c r="F4" s="167">
        <v>44</v>
      </c>
      <c r="G4" s="167" t="s">
        <v>77</v>
      </c>
      <c r="H4" s="169">
        <v>1.1000000000000001</v>
      </c>
      <c r="I4" s="169">
        <v>2.2999999999999998</v>
      </c>
      <c r="J4" s="170">
        <v>0.4375</v>
      </c>
      <c r="K4" s="170">
        <v>0.63888888888888895</v>
      </c>
      <c r="L4" s="167"/>
    </row>
    <row r="5" spans="1:12" ht="15.75" x14ac:dyDescent="0.25">
      <c r="A5" s="167">
        <v>2</v>
      </c>
      <c r="B5" s="167">
        <v>1</v>
      </c>
      <c r="C5" s="168">
        <v>38958</v>
      </c>
      <c r="D5" s="167" t="s">
        <v>367</v>
      </c>
      <c r="E5" s="167" t="s">
        <v>429</v>
      </c>
      <c r="F5" s="167">
        <v>43</v>
      </c>
      <c r="G5" s="167" t="s">
        <v>77</v>
      </c>
      <c r="H5" s="169">
        <v>1.4</v>
      </c>
      <c r="I5" s="169" t="s">
        <v>412</v>
      </c>
      <c r="J5" s="170">
        <v>0.4375</v>
      </c>
      <c r="K5" s="170">
        <v>0.61458333333333337</v>
      </c>
      <c r="L5" s="167" t="s">
        <v>457</v>
      </c>
    </row>
    <row r="6" spans="1:12" ht="15.75" x14ac:dyDescent="0.25">
      <c r="A6" s="167">
        <v>3</v>
      </c>
      <c r="B6" s="167">
        <v>1</v>
      </c>
      <c r="C6" s="168">
        <v>38958</v>
      </c>
      <c r="D6" s="167" t="s">
        <v>365</v>
      </c>
      <c r="E6" s="167" t="s">
        <v>430</v>
      </c>
      <c r="F6" s="167">
        <v>39</v>
      </c>
      <c r="G6" s="167" t="s">
        <v>75</v>
      </c>
      <c r="H6" s="169">
        <v>2</v>
      </c>
      <c r="I6" s="169">
        <v>1.7</v>
      </c>
      <c r="J6" s="170">
        <v>0.44444444444444442</v>
      </c>
      <c r="K6" s="170">
        <v>0.57638888888888895</v>
      </c>
      <c r="L6" s="167"/>
    </row>
    <row r="7" spans="1:12" ht="15.75" x14ac:dyDescent="0.25">
      <c r="A7" s="167">
        <v>4</v>
      </c>
      <c r="B7" s="167">
        <v>1</v>
      </c>
      <c r="C7" s="168">
        <v>38959</v>
      </c>
      <c r="D7" s="167" t="s">
        <v>360</v>
      </c>
      <c r="E7" s="167" t="s">
        <v>431</v>
      </c>
      <c r="F7" s="167">
        <v>83</v>
      </c>
      <c r="G7" s="167" t="s">
        <v>78</v>
      </c>
      <c r="H7" s="169">
        <v>1.6</v>
      </c>
      <c r="I7" s="169">
        <v>1.3</v>
      </c>
      <c r="J7" s="170">
        <v>0.41319444444444442</v>
      </c>
      <c r="K7" s="170">
        <v>0.60416666666666663</v>
      </c>
      <c r="L7" s="167" t="s">
        <v>458</v>
      </c>
    </row>
    <row r="8" spans="1:12" ht="15.75" x14ac:dyDescent="0.25">
      <c r="A8" s="167">
        <v>5</v>
      </c>
      <c r="B8" s="167">
        <v>1</v>
      </c>
      <c r="C8" s="168">
        <v>38959</v>
      </c>
      <c r="D8" s="167" t="s">
        <v>361</v>
      </c>
      <c r="E8" s="167" t="s">
        <v>432</v>
      </c>
      <c r="F8" s="167">
        <v>83</v>
      </c>
      <c r="G8" s="167" t="s">
        <v>78</v>
      </c>
      <c r="H8" s="169">
        <v>2.2999999999999998</v>
      </c>
      <c r="I8" s="169">
        <v>1.3</v>
      </c>
      <c r="J8" s="170">
        <v>0.44444444444444442</v>
      </c>
      <c r="K8" s="170">
        <v>0.625</v>
      </c>
      <c r="L8" s="167" t="s">
        <v>459</v>
      </c>
    </row>
    <row r="9" spans="1:12" ht="15.75" x14ac:dyDescent="0.25">
      <c r="A9" s="167">
        <v>6</v>
      </c>
      <c r="B9" s="167">
        <v>1</v>
      </c>
      <c r="C9" s="168">
        <v>38960</v>
      </c>
      <c r="D9" s="167" t="s">
        <v>363</v>
      </c>
      <c r="E9" s="167" t="s">
        <v>429</v>
      </c>
      <c r="F9" s="167" t="s">
        <v>433</v>
      </c>
      <c r="G9" s="167" t="s">
        <v>364</v>
      </c>
      <c r="H9" s="169">
        <v>2</v>
      </c>
      <c r="I9" s="169">
        <v>2.2999999999999998</v>
      </c>
      <c r="J9" s="170">
        <v>0.375</v>
      </c>
      <c r="K9" s="170">
        <v>0.50694444444444442</v>
      </c>
      <c r="L9" s="167"/>
    </row>
    <row r="10" spans="1:12" ht="15.75" x14ac:dyDescent="0.25">
      <c r="A10" s="167">
        <v>7</v>
      </c>
      <c r="B10" s="167">
        <v>1</v>
      </c>
      <c r="C10" s="168">
        <v>38961</v>
      </c>
      <c r="D10" s="167" t="s">
        <v>359</v>
      </c>
      <c r="E10" s="167" t="s">
        <v>434</v>
      </c>
      <c r="F10" s="167">
        <v>316</v>
      </c>
      <c r="G10" s="167" t="s">
        <v>79</v>
      </c>
      <c r="H10" s="169">
        <v>1.6</v>
      </c>
      <c r="I10" s="169">
        <v>1.6</v>
      </c>
      <c r="J10" s="170">
        <v>0.36458333333333331</v>
      </c>
      <c r="K10" s="170">
        <v>0.4861111111111111</v>
      </c>
      <c r="L10" s="167"/>
    </row>
    <row r="11" spans="1:12" ht="15.75" x14ac:dyDescent="0.25">
      <c r="A11" s="167">
        <v>8</v>
      </c>
      <c r="B11" s="167">
        <v>2</v>
      </c>
      <c r="C11" s="168">
        <v>38978</v>
      </c>
      <c r="D11" s="167" t="s">
        <v>366</v>
      </c>
      <c r="E11" s="167" t="s">
        <v>435</v>
      </c>
      <c r="F11" s="167">
        <v>46</v>
      </c>
      <c r="G11" s="167" t="s">
        <v>77</v>
      </c>
      <c r="H11" s="169">
        <v>3.1</v>
      </c>
      <c r="I11" s="169">
        <v>3.1</v>
      </c>
      <c r="J11" s="170">
        <v>0.39583333333333331</v>
      </c>
      <c r="K11" s="170">
        <v>0.69444444444444453</v>
      </c>
      <c r="L11" s="167" t="s">
        <v>460</v>
      </c>
    </row>
    <row r="12" spans="1:12" ht="15.75" x14ac:dyDescent="0.25">
      <c r="A12" s="167">
        <v>9</v>
      </c>
      <c r="B12" s="167">
        <v>2</v>
      </c>
      <c r="C12" s="168">
        <v>38979</v>
      </c>
      <c r="D12" s="167" t="s">
        <v>367</v>
      </c>
      <c r="E12" s="167" t="s">
        <v>436</v>
      </c>
      <c r="F12" s="167">
        <v>46</v>
      </c>
      <c r="G12" s="167" t="s">
        <v>77</v>
      </c>
      <c r="H12" s="169">
        <v>1.4</v>
      </c>
      <c r="I12" s="169">
        <v>1.5</v>
      </c>
      <c r="J12" s="170">
        <v>0.375</v>
      </c>
      <c r="K12" s="170">
        <v>0.54166666666666663</v>
      </c>
      <c r="L12" s="167"/>
    </row>
    <row r="13" spans="1:12" ht="15.75" x14ac:dyDescent="0.25">
      <c r="A13" s="167">
        <v>10</v>
      </c>
      <c r="B13" s="167">
        <v>2</v>
      </c>
      <c r="C13" s="168">
        <v>38979</v>
      </c>
      <c r="D13" s="167" t="s">
        <v>365</v>
      </c>
      <c r="E13" s="167" t="s">
        <v>437</v>
      </c>
      <c r="F13" s="167">
        <v>39</v>
      </c>
      <c r="G13" s="167" t="s">
        <v>75</v>
      </c>
      <c r="H13" s="169" t="s">
        <v>412</v>
      </c>
      <c r="I13" s="169">
        <v>1.6</v>
      </c>
      <c r="J13" s="170">
        <v>0.4152777777777778</v>
      </c>
      <c r="K13" s="170">
        <v>0.60416666666666663</v>
      </c>
      <c r="L13" s="167" t="s">
        <v>461</v>
      </c>
    </row>
    <row r="14" spans="1:12" ht="15.75" x14ac:dyDescent="0.25">
      <c r="A14" s="167">
        <v>11</v>
      </c>
      <c r="B14" s="167">
        <v>2</v>
      </c>
      <c r="C14" s="168">
        <v>38979</v>
      </c>
      <c r="D14" s="167" t="s">
        <v>360</v>
      </c>
      <c r="E14" s="167" t="s">
        <v>438</v>
      </c>
      <c r="F14" s="167">
        <v>85</v>
      </c>
      <c r="G14" s="167" t="s">
        <v>78</v>
      </c>
      <c r="H14" s="169">
        <v>1.5</v>
      </c>
      <c r="I14" s="169">
        <v>1.4</v>
      </c>
      <c r="J14" s="170">
        <v>0.38194444444444442</v>
      </c>
      <c r="K14" s="170">
        <v>0.56944444444444442</v>
      </c>
      <c r="L14" s="167"/>
    </row>
    <row r="15" spans="1:12" ht="15.75" x14ac:dyDescent="0.25">
      <c r="A15" s="167">
        <v>12</v>
      </c>
      <c r="B15" s="167">
        <v>2</v>
      </c>
      <c r="C15" s="168">
        <v>38979</v>
      </c>
      <c r="D15" s="167" t="s">
        <v>361</v>
      </c>
      <c r="E15" s="167" t="s">
        <v>439</v>
      </c>
      <c r="F15" s="167">
        <v>85</v>
      </c>
      <c r="G15" s="167" t="s">
        <v>78</v>
      </c>
      <c r="H15" s="169">
        <v>1.6</v>
      </c>
      <c r="I15" s="169">
        <v>1.8</v>
      </c>
      <c r="J15" s="170">
        <v>0.44791666666666669</v>
      </c>
      <c r="K15" s="170">
        <v>0.62291666666666667</v>
      </c>
      <c r="L15" s="167"/>
    </row>
    <row r="16" spans="1:12" ht="15.75" x14ac:dyDescent="0.25">
      <c r="A16" s="167">
        <v>13</v>
      </c>
      <c r="B16" s="167">
        <v>2</v>
      </c>
      <c r="C16" s="168">
        <v>38981</v>
      </c>
      <c r="D16" s="167" t="s">
        <v>363</v>
      </c>
      <c r="E16" s="167" t="s">
        <v>440</v>
      </c>
      <c r="F16" s="167" t="s">
        <v>441</v>
      </c>
      <c r="G16" s="167" t="s">
        <v>364</v>
      </c>
      <c r="H16" s="169">
        <v>1.6</v>
      </c>
      <c r="I16" s="169">
        <v>1.9</v>
      </c>
      <c r="J16" s="170">
        <v>0.40277777777777773</v>
      </c>
      <c r="K16" s="170">
        <v>0.54861111111111105</v>
      </c>
      <c r="L16" s="167" t="s">
        <v>462</v>
      </c>
    </row>
    <row r="17" spans="1:12" ht="15.75" x14ac:dyDescent="0.25">
      <c r="A17" s="167">
        <v>14</v>
      </c>
      <c r="B17" s="167">
        <v>3</v>
      </c>
      <c r="C17" s="168">
        <v>38992</v>
      </c>
      <c r="D17" s="167" t="s">
        <v>366</v>
      </c>
      <c r="E17" s="167" t="s">
        <v>442</v>
      </c>
      <c r="F17" s="167">
        <v>46</v>
      </c>
      <c r="G17" s="167" t="s">
        <v>77</v>
      </c>
      <c r="H17" s="169">
        <v>2.4</v>
      </c>
      <c r="I17" s="169">
        <v>2.4</v>
      </c>
      <c r="J17" s="170">
        <v>0.3888888888888889</v>
      </c>
      <c r="K17" s="170">
        <v>0.65277777777777779</v>
      </c>
      <c r="L17" s="167" t="s">
        <v>463</v>
      </c>
    </row>
    <row r="18" spans="1:12" ht="15.75" x14ac:dyDescent="0.25">
      <c r="A18" s="111">
        <v>15</v>
      </c>
      <c r="B18" s="111">
        <v>3</v>
      </c>
      <c r="C18" s="113">
        <v>38993</v>
      </c>
      <c r="D18" s="111" t="s">
        <v>443</v>
      </c>
      <c r="E18" s="111" t="s">
        <v>444</v>
      </c>
      <c r="F18" s="111">
        <v>47</v>
      </c>
      <c r="G18" s="111" t="s">
        <v>77</v>
      </c>
      <c r="H18" s="111">
        <v>2.1</v>
      </c>
      <c r="I18" s="111" t="s">
        <v>412</v>
      </c>
      <c r="J18" s="121">
        <v>0.39583333333333331</v>
      </c>
      <c r="K18" s="121">
        <v>0.70138888888888884</v>
      </c>
      <c r="L18" s="111" t="s">
        <v>464</v>
      </c>
    </row>
    <row r="19" spans="1:12" ht="15.75" x14ac:dyDescent="0.25">
      <c r="A19" s="167">
        <v>16</v>
      </c>
      <c r="B19" s="167">
        <v>3</v>
      </c>
      <c r="C19" s="168">
        <v>38995</v>
      </c>
      <c r="D19" s="167" t="s">
        <v>445</v>
      </c>
      <c r="E19" s="167" t="s">
        <v>446</v>
      </c>
      <c r="F19" s="167">
        <v>47</v>
      </c>
      <c r="G19" s="167" t="s">
        <v>77</v>
      </c>
      <c r="H19" s="169" t="s">
        <v>412</v>
      </c>
      <c r="I19" s="169">
        <v>1.8</v>
      </c>
      <c r="J19" s="170">
        <v>0.40486111111111112</v>
      </c>
      <c r="K19" s="170">
        <v>0.60416666666666663</v>
      </c>
      <c r="L19" s="167" t="s">
        <v>465</v>
      </c>
    </row>
    <row r="20" spans="1:12" ht="15.75" x14ac:dyDescent="0.25">
      <c r="A20" s="167">
        <v>17</v>
      </c>
      <c r="B20" s="167">
        <v>3</v>
      </c>
      <c r="C20" s="168">
        <v>38993</v>
      </c>
      <c r="D20" s="167" t="s">
        <v>365</v>
      </c>
      <c r="E20" s="167" t="s">
        <v>447</v>
      </c>
      <c r="F20" s="167">
        <v>37</v>
      </c>
      <c r="G20" s="167" t="s">
        <v>75</v>
      </c>
      <c r="H20" s="169">
        <v>1.7</v>
      </c>
      <c r="I20" s="169">
        <v>1.5</v>
      </c>
      <c r="J20" s="170">
        <v>0.4201388888888889</v>
      </c>
      <c r="K20" s="170">
        <v>0.66180555555555554</v>
      </c>
      <c r="L20" s="167" t="s">
        <v>466</v>
      </c>
    </row>
    <row r="21" spans="1:12" ht="15.75" x14ac:dyDescent="0.25">
      <c r="A21" s="167">
        <v>18</v>
      </c>
      <c r="B21" s="167">
        <v>3</v>
      </c>
      <c r="C21" s="168">
        <v>38994</v>
      </c>
      <c r="D21" s="167" t="s">
        <v>360</v>
      </c>
      <c r="E21" s="167" t="s">
        <v>448</v>
      </c>
      <c r="F21" s="167">
        <v>83.5</v>
      </c>
      <c r="G21" s="167" t="s">
        <v>78</v>
      </c>
      <c r="H21" s="169">
        <v>2.2999999999999998</v>
      </c>
      <c r="I21" s="169">
        <v>2</v>
      </c>
      <c r="J21" s="170">
        <v>0.37847222222222227</v>
      </c>
      <c r="K21" s="170">
        <v>0.625</v>
      </c>
      <c r="L21" s="167" t="s">
        <v>467</v>
      </c>
    </row>
    <row r="22" spans="1:12" ht="15.75" x14ac:dyDescent="0.25">
      <c r="A22" s="167">
        <v>19</v>
      </c>
      <c r="B22" s="167">
        <v>3</v>
      </c>
      <c r="C22" s="168">
        <v>38994</v>
      </c>
      <c r="D22" s="167" t="s">
        <v>361</v>
      </c>
      <c r="E22" s="167" t="s">
        <v>446</v>
      </c>
      <c r="F22" s="167">
        <v>83.5</v>
      </c>
      <c r="G22" s="167" t="s">
        <v>78</v>
      </c>
      <c r="H22" s="169">
        <v>1.9</v>
      </c>
      <c r="I22" s="169">
        <v>1.4</v>
      </c>
      <c r="J22" s="170">
        <v>0.52430555555555558</v>
      </c>
      <c r="K22" s="170">
        <v>0.64930555555555558</v>
      </c>
      <c r="L22" s="167"/>
    </row>
    <row r="23" spans="1:12" ht="15.75" x14ac:dyDescent="0.25">
      <c r="A23" s="167">
        <v>20</v>
      </c>
      <c r="B23" s="167">
        <v>3</v>
      </c>
      <c r="C23" s="168">
        <v>38996</v>
      </c>
      <c r="D23" s="167" t="s">
        <v>363</v>
      </c>
      <c r="E23" s="167" t="s">
        <v>449</v>
      </c>
      <c r="F23" s="167" t="s">
        <v>450</v>
      </c>
      <c r="G23" s="167" t="s">
        <v>364</v>
      </c>
      <c r="H23" s="169">
        <v>2.1</v>
      </c>
      <c r="I23" s="169">
        <v>2</v>
      </c>
      <c r="J23" s="170">
        <v>0.40486111111111112</v>
      </c>
      <c r="K23" s="170">
        <v>0.57291666666666663</v>
      </c>
      <c r="L23" s="167"/>
    </row>
    <row r="24" spans="1:12" ht="15.75" x14ac:dyDescent="0.25">
      <c r="A24" s="167">
        <v>21</v>
      </c>
      <c r="B24" s="167">
        <v>4</v>
      </c>
      <c r="C24" s="168">
        <v>39020</v>
      </c>
      <c r="D24" s="167" t="s">
        <v>366</v>
      </c>
      <c r="E24" s="167" t="s">
        <v>451</v>
      </c>
      <c r="F24" s="167">
        <v>48</v>
      </c>
      <c r="G24" s="167" t="s">
        <v>77</v>
      </c>
      <c r="H24" s="169">
        <v>3.1</v>
      </c>
      <c r="I24" s="169">
        <v>2.2999999999999998</v>
      </c>
      <c r="J24" s="170">
        <v>0.40277777777777773</v>
      </c>
      <c r="K24" s="170">
        <v>0.6875</v>
      </c>
      <c r="L24" s="167" t="s">
        <v>468</v>
      </c>
    </row>
    <row r="25" spans="1:12" ht="15.75" x14ac:dyDescent="0.25">
      <c r="A25" s="167">
        <v>22</v>
      </c>
      <c r="B25" s="167">
        <v>4</v>
      </c>
      <c r="C25" s="168">
        <v>39021</v>
      </c>
      <c r="D25" s="167" t="s">
        <v>367</v>
      </c>
      <c r="E25" s="167" t="s">
        <v>452</v>
      </c>
      <c r="F25" s="167">
        <v>48</v>
      </c>
      <c r="G25" s="167" t="s">
        <v>77</v>
      </c>
      <c r="H25" s="169">
        <v>2.6</v>
      </c>
      <c r="I25" s="169">
        <v>1.7</v>
      </c>
      <c r="J25" s="170">
        <v>0.3972222222222222</v>
      </c>
      <c r="K25" s="170">
        <v>0.70833333333333337</v>
      </c>
      <c r="L25" s="167" t="s">
        <v>469</v>
      </c>
    </row>
    <row r="26" spans="1:12" ht="15.75" x14ac:dyDescent="0.25">
      <c r="A26" s="167">
        <v>23</v>
      </c>
      <c r="B26" s="167">
        <v>4</v>
      </c>
      <c r="C26" s="168">
        <v>39021</v>
      </c>
      <c r="D26" s="167" t="s">
        <v>365</v>
      </c>
      <c r="E26" s="167" t="s">
        <v>453</v>
      </c>
      <c r="F26" s="167">
        <v>40</v>
      </c>
      <c r="G26" s="167" t="s">
        <v>75</v>
      </c>
      <c r="H26" s="169">
        <v>1.2</v>
      </c>
      <c r="I26" s="169" t="s">
        <v>412</v>
      </c>
      <c r="J26" s="170">
        <v>0.39027777777777778</v>
      </c>
      <c r="K26" s="170">
        <v>0.64236111111111105</v>
      </c>
      <c r="L26" s="167" t="s">
        <v>470</v>
      </c>
    </row>
    <row r="27" spans="1:12" ht="15.75" x14ac:dyDescent="0.25">
      <c r="A27" s="167">
        <v>24</v>
      </c>
      <c r="B27" s="167">
        <v>4</v>
      </c>
      <c r="C27" s="168">
        <v>39023</v>
      </c>
      <c r="D27" s="167" t="s">
        <v>360</v>
      </c>
      <c r="E27" s="167" t="s">
        <v>454</v>
      </c>
      <c r="F27" s="167">
        <v>94</v>
      </c>
      <c r="G27" s="167" t="s">
        <v>78</v>
      </c>
      <c r="H27" s="169">
        <v>2.2999999999999998</v>
      </c>
      <c r="I27" s="171">
        <v>1.4</v>
      </c>
      <c r="J27" s="170">
        <v>0.375</v>
      </c>
      <c r="K27" s="170">
        <v>0.50902777777777775</v>
      </c>
      <c r="L27" s="167" t="s">
        <v>471</v>
      </c>
    </row>
    <row r="28" spans="1:12" ht="15.75" x14ac:dyDescent="0.25">
      <c r="A28" s="167">
        <v>25</v>
      </c>
      <c r="B28" s="167">
        <v>4</v>
      </c>
      <c r="C28" s="168">
        <v>39023</v>
      </c>
      <c r="D28" s="167" t="s">
        <v>361</v>
      </c>
      <c r="E28" s="167" t="s">
        <v>455</v>
      </c>
      <c r="F28" s="167">
        <v>94</v>
      </c>
      <c r="G28" s="167" t="s">
        <v>78</v>
      </c>
      <c r="H28" s="169">
        <v>1.3</v>
      </c>
      <c r="I28" s="169">
        <v>2</v>
      </c>
      <c r="J28" s="170">
        <v>0.4375</v>
      </c>
      <c r="K28" s="170">
        <v>0.58333333333333337</v>
      </c>
      <c r="L28" s="167" t="s">
        <v>472</v>
      </c>
    </row>
    <row r="29" spans="1:12" ht="15.75" x14ac:dyDescent="0.25">
      <c r="A29" s="167">
        <v>26</v>
      </c>
      <c r="B29" s="167">
        <v>4</v>
      </c>
      <c r="C29" s="168">
        <v>39024</v>
      </c>
      <c r="D29" s="167" t="s">
        <v>363</v>
      </c>
      <c r="E29" s="167" t="s">
        <v>439</v>
      </c>
      <c r="F29" s="167" t="s">
        <v>456</v>
      </c>
      <c r="G29" s="167" t="s">
        <v>364</v>
      </c>
      <c r="H29" s="169">
        <v>2.8</v>
      </c>
      <c r="I29" s="169">
        <v>5.8</v>
      </c>
      <c r="J29" s="170">
        <v>0.40625</v>
      </c>
      <c r="K29" s="170">
        <v>0.54166666666666663</v>
      </c>
      <c r="L29" s="167" t="s">
        <v>473</v>
      </c>
    </row>
    <row r="30" spans="1:12" ht="15.75" x14ac:dyDescent="0.25">
      <c r="A30" s="102"/>
      <c r="B30" s="102"/>
      <c r="C30" s="102"/>
      <c r="D30" s="102"/>
      <c r="E30" s="102"/>
      <c r="F30" s="102"/>
      <c r="G30" s="102"/>
      <c r="H30" s="102"/>
      <c r="I30" s="102"/>
      <c r="J30" s="102"/>
      <c r="K30" s="102"/>
      <c r="L30" s="10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2E3B6-4E1B-4E94-BE93-54C40DAE0822}">
  <dimension ref="A1:L42"/>
  <sheetViews>
    <sheetView workbookViewId="0">
      <selection activeCell="D31" sqref="D31"/>
    </sheetView>
  </sheetViews>
  <sheetFormatPr defaultRowHeight="15" x14ac:dyDescent="0.25"/>
  <cols>
    <col min="3" max="3" width="10.140625" bestFit="1" customWidth="1"/>
    <col min="5" max="5" width="20.7109375" bestFit="1" customWidth="1"/>
    <col min="6" max="6" width="12.7109375" bestFit="1" customWidth="1"/>
    <col min="7" max="7" width="14.85546875" bestFit="1" customWidth="1"/>
    <col min="8" max="8" width="21.85546875" bestFit="1" customWidth="1"/>
    <col min="9" max="9" width="11.42578125" bestFit="1" customWidth="1"/>
    <col min="10" max="10" width="11.7109375" bestFit="1" customWidth="1"/>
    <col min="11" max="11" width="10.85546875" bestFit="1" customWidth="1"/>
    <col min="12" max="12" width="96.28515625" bestFit="1" customWidth="1"/>
    <col min="13" max="13" width="91.28515625" bestFit="1" customWidth="1"/>
  </cols>
  <sheetData>
    <row r="1" spans="1:12" ht="15.75" x14ac:dyDescent="0.25">
      <c r="A1" s="48" t="s">
        <v>1076</v>
      </c>
      <c r="B1" s="48"/>
      <c r="C1" s="44"/>
      <c r="D1" s="44"/>
      <c r="E1" s="44"/>
      <c r="F1" s="44"/>
      <c r="G1" s="44"/>
      <c r="H1" s="44"/>
    </row>
    <row r="2" spans="1:12" ht="15.75" x14ac:dyDescent="0.25">
      <c r="A2" s="49" t="s">
        <v>1</v>
      </c>
      <c r="B2" s="49"/>
      <c r="C2" s="44"/>
      <c r="D2" s="44"/>
      <c r="E2" s="44" t="s">
        <v>2</v>
      </c>
      <c r="F2" s="44"/>
      <c r="G2" s="44"/>
      <c r="H2" s="44" t="s">
        <v>3</v>
      </c>
    </row>
    <row r="3" spans="1:12" x14ac:dyDescent="0.25">
      <c r="A3" s="84" t="s">
        <v>349</v>
      </c>
      <c r="B3" s="84" t="s">
        <v>601</v>
      </c>
      <c r="C3" s="84" t="s">
        <v>350</v>
      </c>
      <c r="D3" s="84" t="s">
        <v>351</v>
      </c>
      <c r="E3" s="84" t="s">
        <v>352</v>
      </c>
      <c r="F3" s="84" t="s">
        <v>353</v>
      </c>
      <c r="G3" s="84" t="s">
        <v>354</v>
      </c>
      <c r="H3" s="84" t="s">
        <v>355</v>
      </c>
      <c r="I3" s="84" t="s">
        <v>356</v>
      </c>
      <c r="J3" s="84" t="s">
        <v>357</v>
      </c>
      <c r="K3" s="84" t="s">
        <v>358</v>
      </c>
      <c r="L3" s="84" t="s">
        <v>331</v>
      </c>
    </row>
    <row r="4" spans="1:12" x14ac:dyDescent="0.25">
      <c r="A4" s="3">
        <v>1</v>
      </c>
      <c r="B4" s="3">
        <v>1</v>
      </c>
      <c r="C4" s="4">
        <v>39321</v>
      </c>
      <c r="D4" s="3" t="s">
        <v>366</v>
      </c>
      <c r="E4" s="3" t="s">
        <v>474</v>
      </c>
      <c r="F4" s="3">
        <v>45</v>
      </c>
      <c r="G4" s="3" t="s">
        <v>77</v>
      </c>
      <c r="H4" s="5" t="s">
        <v>362</v>
      </c>
      <c r="I4" s="5">
        <v>3.9</v>
      </c>
      <c r="J4" s="6">
        <v>0.39583333333333331</v>
      </c>
      <c r="K4" s="6">
        <v>0.59930555555555554</v>
      </c>
      <c r="L4" s="3" t="s">
        <v>521</v>
      </c>
    </row>
    <row r="5" spans="1:12" x14ac:dyDescent="0.25">
      <c r="A5" s="3">
        <v>2</v>
      </c>
      <c r="B5" s="3">
        <v>1</v>
      </c>
      <c r="C5" s="4">
        <v>39322</v>
      </c>
      <c r="D5" s="3" t="s">
        <v>367</v>
      </c>
      <c r="E5" s="3" t="s">
        <v>475</v>
      </c>
      <c r="F5" s="3">
        <v>45</v>
      </c>
      <c r="G5" s="3" t="s">
        <v>77</v>
      </c>
      <c r="H5" s="5">
        <v>1.8</v>
      </c>
      <c r="I5" s="5">
        <v>2.2000000000000002</v>
      </c>
      <c r="J5" s="6">
        <v>0.3611111111111111</v>
      </c>
      <c r="K5" s="6">
        <v>0.52500000000000002</v>
      </c>
      <c r="L5" s="3"/>
    </row>
    <row r="6" spans="1:12" x14ac:dyDescent="0.25">
      <c r="A6" s="3">
        <v>3</v>
      </c>
      <c r="B6" s="3">
        <v>1</v>
      </c>
      <c r="C6" s="4">
        <v>39322</v>
      </c>
      <c r="D6" s="3" t="s">
        <v>365</v>
      </c>
      <c r="E6" s="3" t="s">
        <v>476</v>
      </c>
      <c r="F6" s="3">
        <v>139</v>
      </c>
      <c r="G6" s="3" t="s">
        <v>75</v>
      </c>
      <c r="H6" s="5">
        <v>4.9000000000000004</v>
      </c>
      <c r="I6" s="5">
        <v>2.6</v>
      </c>
      <c r="J6" s="6">
        <v>0.4201388888888889</v>
      </c>
      <c r="K6" s="6">
        <v>0.57291666666666663</v>
      </c>
      <c r="L6" s="3" t="s">
        <v>1141</v>
      </c>
    </row>
    <row r="7" spans="1:12" x14ac:dyDescent="0.25">
      <c r="A7" s="3">
        <v>4</v>
      </c>
      <c r="B7" s="3">
        <v>1</v>
      </c>
      <c r="C7" s="4">
        <v>39325</v>
      </c>
      <c r="D7" s="3" t="s">
        <v>360</v>
      </c>
      <c r="E7" s="3" t="s">
        <v>477</v>
      </c>
      <c r="F7" s="3">
        <v>206</v>
      </c>
      <c r="G7" s="3" t="s">
        <v>78</v>
      </c>
      <c r="H7" s="5">
        <v>1.4</v>
      </c>
      <c r="I7" s="5">
        <v>1.4</v>
      </c>
      <c r="J7" s="6">
        <v>0.375</v>
      </c>
      <c r="K7" s="6">
        <v>0.51388888888888895</v>
      </c>
      <c r="L7" s="3"/>
    </row>
    <row r="8" spans="1:12" x14ac:dyDescent="0.25">
      <c r="A8" s="3">
        <v>5</v>
      </c>
      <c r="B8" s="3">
        <v>1</v>
      </c>
      <c r="C8" s="4">
        <v>39325</v>
      </c>
      <c r="D8" s="3" t="s">
        <v>361</v>
      </c>
      <c r="E8" s="3" t="s">
        <v>478</v>
      </c>
      <c r="F8" s="3">
        <v>149</v>
      </c>
      <c r="G8" s="3" t="s">
        <v>78</v>
      </c>
      <c r="H8" s="5">
        <v>1.8</v>
      </c>
      <c r="I8" s="5">
        <v>1.6</v>
      </c>
      <c r="J8" s="6">
        <v>0.40625</v>
      </c>
      <c r="K8" s="6">
        <v>0.60763888888888895</v>
      </c>
      <c r="L8" s="3"/>
    </row>
    <row r="9" spans="1:12" x14ac:dyDescent="0.25">
      <c r="A9" s="3">
        <v>6</v>
      </c>
      <c r="B9" s="3">
        <v>1</v>
      </c>
      <c r="C9" s="4">
        <v>39324</v>
      </c>
      <c r="D9" s="3" t="s">
        <v>363</v>
      </c>
      <c r="E9" s="3" t="s">
        <v>479</v>
      </c>
      <c r="F9" s="3" t="s">
        <v>480</v>
      </c>
      <c r="G9" s="3" t="s">
        <v>364</v>
      </c>
      <c r="H9" s="5">
        <v>1.6</v>
      </c>
      <c r="I9" s="5">
        <v>1.8</v>
      </c>
      <c r="J9" s="6">
        <v>0.36458333333333331</v>
      </c>
      <c r="K9" s="6">
        <v>0.51388888888888895</v>
      </c>
      <c r="L9" s="3" t="s">
        <v>522</v>
      </c>
    </row>
    <row r="10" spans="1:12" x14ac:dyDescent="0.25">
      <c r="A10" s="3">
        <v>7</v>
      </c>
      <c r="B10" s="3">
        <v>2</v>
      </c>
      <c r="C10" s="4">
        <v>39342</v>
      </c>
      <c r="D10" s="3" t="s">
        <v>366</v>
      </c>
      <c r="E10" s="3" t="s">
        <v>481</v>
      </c>
      <c r="F10" s="3">
        <v>45</v>
      </c>
      <c r="G10" s="3" t="s">
        <v>77</v>
      </c>
      <c r="H10" s="5">
        <v>1.1000000000000001</v>
      </c>
      <c r="I10" s="5">
        <v>1.5</v>
      </c>
      <c r="J10" s="6">
        <v>0.38958333333333334</v>
      </c>
      <c r="K10" s="6">
        <v>0.58194444444444449</v>
      </c>
      <c r="L10" s="3"/>
    </row>
    <row r="11" spans="1:12" x14ac:dyDescent="0.25">
      <c r="A11" s="3">
        <v>8</v>
      </c>
      <c r="B11" s="3">
        <v>2</v>
      </c>
      <c r="C11" s="4">
        <v>39343</v>
      </c>
      <c r="D11" s="3" t="s">
        <v>367</v>
      </c>
      <c r="E11" s="3" t="s">
        <v>482</v>
      </c>
      <c r="F11" s="3">
        <v>45</v>
      </c>
      <c r="G11" s="3" t="s">
        <v>77</v>
      </c>
      <c r="H11" s="5">
        <v>1.5</v>
      </c>
      <c r="I11" s="5">
        <v>1.9</v>
      </c>
      <c r="J11" s="6">
        <v>0.36458333333333331</v>
      </c>
      <c r="K11" s="6">
        <v>0.57291666666666663</v>
      </c>
      <c r="L11" s="3" t="s">
        <v>523</v>
      </c>
    </row>
    <row r="12" spans="1:12" x14ac:dyDescent="0.25">
      <c r="A12" s="3">
        <v>9</v>
      </c>
      <c r="B12" s="3">
        <v>2</v>
      </c>
      <c r="C12" s="4">
        <v>39343</v>
      </c>
      <c r="D12" s="3" t="s">
        <v>365</v>
      </c>
      <c r="E12" s="3" t="s">
        <v>483</v>
      </c>
      <c r="F12" s="3">
        <v>33</v>
      </c>
      <c r="G12" s="3" t="s">
        <v>75</v>
      </c>
      <c r="H12" s="5">
        <v>1.6</v>
      </c>
      <c r="I12" s="5">
        <v>1.7</v>
      </c>
      <c r="J12" s="7" t="s">
        <v>388</v>
      </c>
      <c r="K12" s="6">
        <v>0.59722222222222221</v>
      </c>
      <c r="L12" s="3"/>
    </row>
    <row r="13" spans="1:12" x14ac:dyDescent="0.25">
      <c r="A13" s="3">
        <v>10</v>
      </c>
      <c r="B13" s="3">
        <v>2</v>
      </c>
      <c r="C13" s="4">
        <v>39344</v>
      </c>
      <c r="D13" s="3" t="s">
        <v>360</v>
      </c>
      <c r="E13" s="3" t="s">
        <v>484</v>
      </c>
      <c r="F13" s="3">
        <v>80</v>
      </c>
      <c r="G13" s="7" t="s">
        <v>78</v>
      </c>
      <c r="H13" s="5">
        <v>1.7</v>
      </c>
      <c r="I13" s="5">
        <v>1</v>
      </c>
      <c r="J13" s="7" t="s">
        <v>485</v>
      </c>
      <c r="K13" s="6">
        <v>0.5625</v>
      </c>
      <c r="L13" s="3" t="s">
        <v>524</v>
      </c>
    </row>
    <row r="14" spans="1:12" x14ac:dyDescent="0.25">
      <c r="A14" s="3">
        <v>11</v>
      </c>
      <c r="B14" s="3">
        <v>2</v>
      </c>
      <c r="C14" s="4">
        <v>39345</v>
      </c>
      <c r="D14" s="3" t="s">
        <v>361</v>
      </c>
      <c r="E14" s="3" t="s">
        <v>486</v>
      </c>
      <c r="F14" s="3">
        <v>80</v>
      </c>
      <c r="G14" s="8" t="s">
        <v>78</v>
      </c>
      <c r="H14" s="5">
        <v>1.7</v>
      </c>
      <c r="I14" s="5">
        <v>1.7</v>
      </c>
      <c r="J14" s="7" t="s">
        <v>487</v>
      </c>
      <c r="K14" s="6">
        <v>0.59375</v>
      </c>
      <c r="L14" s="3" t="s">
        <v>525</v>
      </c>
    </row>
    <row r="15" spans="1:12" x14ac:dyDescent="0.25">
      <c r="A15" s="3">
        <v>12</v>
      </c>
      <c r="B15" s="3">
        <v>2</v>
      </c>
      <c r="C15" s="4">
        <v>39345</v>
      </c>
      <c r="D15" s="3" t="s">
        <v>363</v>
      </c>
      <c r="E15" s="3" t="s">
        <v>488</v>
      </c>
      <c r="F15" s="3" t="s">
        <v>489</v>
      </c>
      <c r="G15" s="7" t="s">
        <v>364</v>
      </c>
      <c r="H15" s="5">
        <v>1.8</v>
      </c>
      <c r="I15" s="5">
        <v>2.8</v>
      </c>
      <c r="J15" s="7" t="s">
        <v>490</v>
      </c>
      <c r="K15" s="6">
        <v>0.58680555555555558</v>
      </c>
      <c r="L15" s="3" t="s">
        <v>526</v>
      </c>
    </row>
    <row r="16" spans="1:12" x14ac:dyDescent="0.25">
      <c r="A16" s="3">
        <v>13</v>
      </c>
      <c r="B16" s="3">
        <v>3</v>
      </c>
      <c r="C16" s="4">
        <v>39356</v>
      </c>
      <c r="D16" s="3" t="s">
        <v>366</v>
      </c>
      <c r="E16" s="3" t="s">
        <v>491</v>
      </c>
      <c r="F16" s="3">
        <v>43</v>
      </c>
      <c r="G16" s="7" t="s">
        <v>77</v>
      </c>
      <c r="H16" s="5">
        <v>1.46</v>
      </c>
      <c r="I16" s="5">
        <v>2</v>
      </c>
      <c r="J16" s="7" t="s">
        <v>492</v>
      </c>
      <c r="K16" s="6">
        <v>0.65277777777777779</v>
      </c>
      <c r="L16" s="3"/>
    </row>
    <row r="17" spans="1:12" x14ac:dyDescent="0.25">
      <c r="A17" s="3">
        <v>14</v>
      </c>
      <c r="B17" s="3">
        <v>3</v>
      </c>
      <c r="C17" s="4">
        <v>39357</v>
      </c>
      <c r="D17" s="3" t="s">
        <v>443</v>
      </c>
      <c r="E17" s="3" t="s">
        <v>493</v>
      </c>
      <c r="F17" s="3">
        <v>42</v>
      </c>
      <c r="G17" s="7" t="s">
        <v>77</v>
      </c>
      <c r="H17" s="5">
        <v>1.9</v>
      </c>
      <c r="I17" s="5">
        <v>2.4</v>
      </c>
      <c r="J17" s="7" t="s">
        <v>487</v>
      </c>
      <c r="K17" s="6">
        <v>0.71180555555555547</v>
      </c>
      <c r="L17" s="3"/>
    </row>
    <row r="18" spans="1:12" x14ac:dyDescent="0.25">
      <c r="A18" s="3">
        <v>15</v>
      </c>
      <c r="B18" s="3">
        <v>3</v>
      </c>
      <c r="C18" s="4">
        <v>39357</v>
      </c>
      <c r="D18" s="3" t="s">
        <v>445</v>
      </c>
      <c r="E18" s="3" t="s">
        <v>494</v>
      </c>
      <c r="F18" s="3">
        <v>42</v>
      </c>
      <c r="G18" s="7" t="s">
        <v>77</v>
      </c>
      <c r="H18" s="5">
        <v>2.09</v>
      </c>
      <c r="I18" s="5">
        <v>1.18</v>
      </c>
      <c r="J18" s="7" t="s">
        <v>487</v>
      </c>
      <c r="K18" s="6">
        <v>0.625</v>
      </c>
      <c r="L18" s="3" t="s">
        <v>527</v>
      </c>
    </row>
    <row r="19" spans="1:12" x14ac:dyDescent="0.25">
      <c r="A19" s="3">
        <v>16</v>
      </c>
      <c r="B19" s="3">
        <v>3</v>
      </c>
      <c r="C19" s="4">
        <v>39358</v>
      </c>
      <c r="D19" s="3" t="s">
        <v>365</v>
      </c>
      <c r="E19" s="3" t="s">
        <v>495</v>
      </c>
      <c r="F19" s="3">
        <v>35</v>
      </c>
      <c r="G19" s="7" t="s">
        <v>75</v>
      </c>
      <c r="H19" s="5">
        <v>2.5099999999999998</v>
      </c>
      <c r="I19" s="5">
        <v>1.54</v>
      </c>
      <c r="J19" s="7" t="s">
        <v>496</v>
      </c>
      <c r="K19" s="6">
        <v>0.72222222222222221</v>
      </c>
      <c r="L19" s="3" t="s">
        <v>528</v>
      </c>
    </row>
    <row r="20" spans="1:12" x14ac:dyDescent="0.25">
      <c r="A20" s="3">
        <v>17</v>
      </c>
      <c r="B20" s="3">
        <v>3</v>
      </c>
      <c r="C20" s="4">
        <v>39359</v>
      </c>
      <c r="D20" s="3" t="s">
        <v>360</v>
      </c>
      <c r="E20" s="3" t="s">
        <v>497</v>
      </c>
      <c r="F20" s="3">
        <v>76.3</v>
      </c>
      <c r="G20" s="7" t="s">
        <v>78</v>
      </c>
      <c r="H20" s="5">
        <v>2.2599999999999998</v>
      </c>
      <c r="I20" s="5">
        <v>1.9</v>
      </c>
      <c r="J20" s="7" t="s">
        <v>498</v>
      </c>
      <c r="K20" s="6">
        <v>0.70138888888888884</v>
      </c>
      <c r="L20" s="3"/>
    </row>
    <row r="21" spans="1:12" x14ac:dyDescent="0.25">
      <c r="A21" s="3">
        <v>18</v>
      </c>
      <c r="B21" s="3">
        <v>3</v>
      </c>
      <c r="C21" s="4">
        <v>39359</v>
      </c>
      <c r="D21" s="3" t="s">
        <v>361</v>
      </c>
      <c r="E21" s="3" t="s">
        <v>499</v>
      </c>
      <c r="F21" s="3">
        <v>76.5</v>
      </c>
      <c r="G21" s="7" t="s">
        <v>78</v>
      </c>
      <c r="H21" s="5" t="s">
        <v>362</v>
      </c>
      <c r="I21" s="5">
        <v>2.5</v>
      </c>
      <c r="J21" s="7" t="s">
        <v>500</v>
      </c>
      <c r="K21" s="6">
        <v>0.62152777777777779</v>
      </c>
      <c r="L21" s="3" t="s">
        <v>529</v>
      </c>
    </row>
    <row r="22" spans="1:12" x14ac:dyDescent="0.25">
      <c r="A22" s="3">
        <v>19</v>
      </c>
      <c r="B22" s="3">
        <v>3</v>
      </c>
      <c r="C22" s="4">
        <v>39359</v>
      </c>
      <c r="D22" s="3" t="s">
        <v>363</v>
      </c>
      <c r="E22" s="3" t="s">
        <v>501</v>
      </c>
      <c r="F22" s="3" t="s">
        <v>502</v>
      </c>
      <c r="G22" s="7" t="s">
        <v>364</v>
      </c>
      <c r="H22" s="5">
        <v>2.13</v>
      </c>
      <c r="I22" s="5">
        <v>3.19</v>
      </c>
      <c r="J22" s="7" t="s">
        <v>496</v>
      </c>
      <c r="K22" s="6">
        <v>0.59444444444444444</v>
      </c>
      <c r="L22" s="3" t="s">
        <v>530</v>
      </c>
    </row>
    <row r="23" spans="1:12" x14ac:dyDescent="0.25">
      <c r="A23" s="3">
        <v>20</v>
      </c>
      <c r="B23" s="3">
        <v>4</v>
      </c>
      <c r="C23" s="4">
        <v>39370</v>
      </c>
      <c r="D23" s="3" t="s">
        <v>366</v>
      </c>
      <c r="E23" s="3" t="s">
        <v>503</v>
      </c>
      <c r="F23" s="3">
        <v>42</v>
      </c>
      <c r="G23" s="3" t="s">
        <v>77</v>
      </c>
      <c r="H23" s="5">
        <v>3</v>
      </c>
      <c r="I23" s="5">
        <v>3</v>
      </c>
      <c r="J23" s="6">
        <v>0.41319444444444442</v>
      </c>
      <c r="K23" s="6">
        <v>0.59722222222222221</v>
      </c>
      <c r="L23" s="3" t="s">
        <v>531</v>
      </c>
    </row>
    <row r="24" spans="1:12" x14ac:dyDescent="0.25">
      <c r="A24" s="3">
        <v>21</v>
      </c>
      <c r="B24" s="3">
        <v>4</v>
      </c>
      <c r="C24" s="4">
        <v>39371</v>
      </c>
      <c r="D24" s="3" t="s">
        <v>443</v>
      </c>
      <c r="E24" s="3" t="s">
        <v>504</v>
      </c>
      <c r="F24" s="3">
        <v>42</v>
      </c>
      <c r="G24" s="3" t="s">
        <v>77</v>
      </c>
      <c r="H24" s="5">
        <v>1.9</v>
      </c>
      <c r="I24" s="5">
        <v>3.5</v>
      </c>
      <c r="J24" s="6">
        <v>0.3888888888888889</v>
      </c>
      <c r="K24" s="6">
        <v>0.73958333333333337</v>
      </c>
      <c r="L24" s="3" t="s">
        <v>532</v>
      </c>
    </row>
    <row r="25" spans="1:12" x14ac:dyDescent="0.25">
      <c r="A25" s="3">
        <v>22</v>
      </c>
      <c r="B25" s="3">
        <v>4</v>
      </c>
      <c r="C25" s="4">
        <v>39371</v>
      </c>
      <c r="D25" s="3" t="s">
        <v>445</v>
      </c>
      <c r="E25" s="3" t="s">
        <v>505</v>
      </c>
      <c r="F25" s="3">
        <v>42</v>
      </c>
      <c r="G25" s="3" t="s">
        <v>77</v>
      </c>
      <c r="H25" s="5">
        <v>3.13</v>
      </c>
      <c r="I25" s="5">
        <v>2.15</v>
      </c>
      <c r="J25" s="6">
        <v>0.40277777777777773</v>
      </c>
      <c r="K25" s="6">
        <v>0.57986111111111105</v>
      </c>
      <c r="L25" s="3" t="s">
        <v>533</v>
      </c>
    </row>
    <row r="26" spans="1:12" x14ac:dyDescent="0.25">
      <c r="A26" s="3">
        <v>23</v>
      </c>
      <c r="B26" s="3">
        <v>4</v>
      </c>
      <c r="C26" s="4">
        <v>39372</v>
      </c>
      <c r="D26" s="3" t="s">
        <v>365</v>
      </c>
      <c r="E26" s="3" t="s">
        <v>506</v>
      </c>
      <c r="F26" s="3">
        <v>38.5</v>
      </c>
      <c r="G26" s="7" t="s">
        <v>75</v>
      </c>
      <c r="H26" s="5">
        <v>1.77</v>
      </c>
      <c r="I26" s="5">
        <v>1.3</v>
      </c>
      <c r="J26" s="6">
        <v>0.41944444444444445</v>
      </c>
      <c r="K26" s="6">
        <v>0.6743055555555556</v>
      </c>
      <c r="L26" s="3" t="s">
        <v>534</v>
      </c>
    </row>
    <row r="27" spans="1:12" x14ac:dyDescent="0.25">
      <c r="A27" s="3">
        <v>24</v>
      </c>
      <c r="B27" s="3">
        <v>4</v>
      </c>
      <c r="C27" s="4">
        <v>39372</v>
      </c>
      <c r="D27" s="3" t="s">
        <v>507</v>
      </c>
      <c r="E27" s="3" t="s">
        <v>508</v>
      </c>
      <c r="F27" s="3">
        <v>82</v>
      </c>
      <c r="G27" s="7" t="s">
        <v>78</v>
      </c>
      <c r="H27" s="5">
        <v>2.06</v>
      </c>
      <c r="I27" s="5">
        <v>1.59</v>
      </c>
      <c r="J27" s="6">
        <v>0.39930555555555558</v>
      </c>
      <c r="K27" s="6">
        <v>0.58680555555555558</v>
      </c>
      <c r="L27" s="3" t="s">
        <v>535</v>
      </c>
    </row>
    <row r="28" spans="1:12" x14ac:dyDescent="0.25">
      <c r="A28" s="3">
        <v>25</v>
      </c>
      <c r="B28" s="3">
        <v>4</v>
      </c>
      <c r="C28" s="4">
        <v>39373</v>
      </c>
      <c r="D28" s="3" t="s">
        <v>509</v>
      </c>
      <c r="E28" s="3" t="s">
        <v>510</v>
      </c>
      <c r="F28" s="3">
        <v>82</v>
      </c>
      <c r="G28" s="7" t="s">
        <v>78</v>
      </c>
      <c r="H28" s="5">
        <v>1.32</v>
      </c>
      <c r="I28" s="5" t="s">
        <v>362</v>
      </c>
      <c r="J28" s="6">
        <v>0.40625</v>
      </c>
      <c r="K28" s="6">
        <v>0.66666666666666663</v>
      </c>
      <c r="L28" s="3" t="s">
        <v>536</v>
      </c>
    </row>
    <row r="29" spans="1:12" x14ac:dyDescent="0.25">
      <c r="A29" s="3">
        <v>26</v>
      </c>
      <c r="B29" s="3">
        <v>4</v>
      </c>
      <c r="C29" s="4">
        <v>39373</v>
      </c>
      <c r="D29" s="3" t="s">
        <v>361</v>
      </c>
      <c r="E29" s="3" t="s">
        <v>511</v>
      </c>
      <c r="F29" s="3">
        <v>81</v>
      </c>
      <c r="G29" s="3" t="s">
        <v>78</v>
      </c>
      <c r="H29" s="5">
        <v>1.95</v>
      </c>
      <c r="I29" s="5">
        <v>1.1200000000000001</v>
      </c>
      <c r="J29" s="6">
        <v>0.38680555555555557</v>
      </c>
      <c r="K29" s="6">
        <v>0.57638888888888895</v>
      </c>
      <c r="L29" s="3"/>
    </row>
    <row r="30" spans="1:12" x14ac:dyDescent="0.25">
      <c r="A30" s="3">
        <v>27</v>
      </c>
      <c r="B30" s="3">
        <v>4</v>
      </c>
      <c r="C30" s="4">
        <v>39374</v>
      </c>
      <c r="D30" s="3" t="s">
        <v>363</v>
      </c>
      <c r="E30" s="3" t="s">
        <v>512</v>
      </c>
      <c r="F30" s="3" t="s">
        <v>513</v>
      </c>
      <c r="G30" s="3" t="s">
        <v>364</v>
      </c>
      <c r="H30" s="5">
        <v>2.13</v>
      </c>
      <c r="I30" s="5">
        <v>4.26</v>
      </c>
      <c r="J30" s="6">
        <v>0.41944444444444445</v>
      </c>
      <c r="K30" s="6">
        <v>0.64027777777777783</v>
      </c>
      <c r="L30" s="3" t="s">
        <v>537</v>
      </c>
    </row>
    <row r="31" spans="1:12" x14ac:dyDescent="0.25">
      <c r="A31" s="3">
        <v>28</v>
      </c>
      <c r="B31" s="3">
        <v>5</v>
      </c>
      <c r="C31" s="4">
        <v>39384</v>
      </c>
      <c r="D31" s="3" t="s">
        <v>366</v>
      </c>
      <c r="E31" s="3" t="s">
        <v>514</v>
      </c>
      <c r="F31" s="3">
        <v>43</v>
      </c>
      <c r="G31" s="3" t="s">
        <v>77</v>
      </c>
      <c r="H31" s="5">
        <v>1.25</v>
      </c>
      <c r="I31" s="5">
        <v>2.09</v>
      </c>
      <c r="J31" s="6">
        <v>0.38541666666666669</v>
      </c>
      <c r="K31" s="6">
        <v>0.5</v>
      </c>
      <c r="L31" s="3" t="s">
        <v>538</v>
      </c>
    </row>
    <row r="32" spans="1:12" x14ac:dyDescent="0.25">
      <c r="A32" s="3">
        <v>29</v>
      </c>
      <c r="B32" s="3">
        <v>5</v>
      </c>
      <c r="C32" s="4">
        <v>39385</v>
      </c>
      <c r="D32" s="3" t="s">
        <v>367</v>
      </c>
      <c r="E32" s="3" t="s">
        <v>515</v>
      </c>
      <c r="F32" s="3">
        <v>44</v>
      </c>
      <c r="G32" s="3" t="s">
        <v>77</v>
      </c>
      <c r="H32" s="5">
        <v>1.69</v>
      </c>
      <c r="I32" s="5">
        <v>2.06</v>
      </c>
      <c r="J32" s="6">
        <v>0.39583333333333331</v>
      </c>
      <c r="K32" s="6">
        <v>0.67708333333333337</v>
      </c>
      <c r="L32" s="3" t="s">
        <v>539</v>
      </c>
    </row>
    <row r="33" spans="1:12" x14ac:dyDescent="0.25">
      <c r="A33" s="3">
        <v>30</v>
      </c>
      <c r="B33" s="3">
        <v>5</v>
      </c>
      <c r="C33" s="4">
        <v>39393</v>
      </c>
      <c r="D33" s="3" t="s">
        <v>365</v>
      </c>
      <c r="E33" s="3" t="s">
        <v>516</v>
      </c>
      <c r="F33" s="3">
        <v>62</v>
      </c>
      <c r="G33" s="3" t="s">
        <v>75</v>
      </c>
      <c r="H33" s="5">
        <v>1.2</v>
      </c>
      <c r="I33" s="5">
        <v>1.8</v>
      </c>
      <c r="J33" s="6">
        <v>0.41666666666666669</v>
      </c>
      <c r="K33" s="6">
        <v>0.59861111111111109</v>
      </c>
      <c r="L33" s="3"/>
    </row>
    <row r="34" spans="1:12" x14ac:dyDescent="0.25">
      <c r="A34" s="3">
        <v>31</v>
      </c>
      <c r="B34" s="3">
        <v>5</v>
      </c>
      <c r="C34" s="4">
        <v>39393</v>
      </c>
      <c r="D34" s="3" t="s">
        <v>360</v>
      </c>
      <c r="E34" s="3" t="s">
        <v>517</v>
      </c>
      <c r="F34" s="3">
        <v>100</v>
      </c>
      <c r="G34" s="3" t="s">
        <v>78</v>
      </c>
      <c r="H34" s="5">
        <v>1.72</v>
      </c>
      <c r="I34" s="5">
        <v>1.77</v>
      </c>
      <c r="J34" s="6">
        <v>0.38541666666666669</v>
      </c>
      <c r="K34" s="6">
        <v>0.58333333333333337</v>
      </c>
      <c r="L34" s="3" t="s">
        <v>540</v>
      </c>
    </row>
    <row r="35" spans="1:12" x14ac:dyDescent="0.25">
      <c r="A35" s="3">
        <v>32</v>
      </c>
      <c r="B35" s="3">
        <v>5</v>
      </c>
      <c r="C35" s="4">
        <v>39386</v>
      </c>
      <c r="D35" s="3" t="s">
        <v>361</v>
      </c>
      <c r="E35" s="3" t="s">
        <v>518</v>
      </c>
      <c r="F35" s="3">
        <v>82</v>
      </c>
      <c r="G35" s="3" t="s">
        <v>78</v>
      </c>
      <c r="H35" s="5">
        <v>2.2599999999999998</v>
      </c>
      <c r="I35" s="5">
        <v>2.78</v>
      </c>
      <c r="J35" s="6">
        <v>0.43402777777777773</v>
      </c>
      <c r="K35" s="6">
        <v>0.59375</v>
      </c>
      <c r="L35" s="3"/>
    </row>
    <row r="36" spans="1:12" x14ac:dyDescent="0.25">
      <c r="A36" s="3">
        <v>33</v>
      </c>
      <c r="B36" s="3">
        <v>5</v>
      </c>
      <c r="C36" s="4">
        <v>39388</v>
      </c>
      <c r="D36" s="3" t="s">
        <v>363</v>
      </c>
      <c r="E36" s="3" t="s">
        <v>519</v>
      </c>
      <c r="F36" s="3" t="s">
        <v>520</v>
      </c>
      <c r="G36" s="7" t="s">
        <v>364</v>
      </c>
      <c r="H36" s="5">
        <v>3.2</v>
      </c>
      <c r="I36" s="5">
        <v>2.27</v>
      </c>
      <c r="J36" s="6">
        <v>0.3888888888888889</v>
      </c>
      <c r="K36" s="6">
        <v>0.55763888888888891</v>
      </c>
      <c r="L36" s="3"/>
    </row>
    <row r="37" spans="1:12" x14ac:dyDescent="0.25">
      <c r="A37" s="19"/>
      <c r="B37" s="19"/>
      <c r="C37" s="19"/>
      <c r="D37" s="19"/>
      <c r="E37" s="19"/>
      <c r="F37" s="19"/>
      <c r="G37" s="19"/>
      <c r="H37" s="19"/>
      <c r="I37" s="19"/>
      <c r="J37" s="19"/>
      <c r="K37" s="19"/>
      <c r="L37" s="19"/>
    </row>
    <row r="38" spans="1:12" x14ac:dyDescent="0.25">
      <c r="A38" s="19"/>
      <c r="B38" s="19"/>
      <c r="C38" s="19"/>
      <c r="D38" s="19"/>
      <c r="E38" s="19"/>
      <c r="F38" s="19"/>
      <c r="G38" s="19"/>
      <c r="H38" s="19"/>
      <c r="I38" s="19"/>
      <c r="J38" s="19"/>
      <c r="K38" s="19"/>
      <c r="L38" s="19"/>
    </row>
    <row r="39" spans="1:12" x14ac:dyDescent="0.25">
      <c r="A39" s="19"/>
      <c r="B39" s="19"/>
      <c r="C39" s="19"/>
      <c r="D39" s="19"/>
      <c r="E39" s="19"/>
      <c r="F39" s="19"/>
      <c r="G39" s="19"/>
      <c r="H39" s="19"/>
      <c r="I39" s="19"/>
      <c r="J39" s="19"/>
      <c r="K39" s="19"/>
      <c r="L39" s="19"/>
    </row>
    <row r="40" spans="1:12" x14ac:dyDescent="0.25">
      <c r="A40" s="19"/>
      <c r="B40" s="19"/>
      <c r="C40" s="19"/>
      <c r="D40" s="19"/>
      <c r="E40" s="19"/>
      <c r="F40" s="19"/>
      <c r="G40" s="19"/>
      <c r="H40" s="19"/>
      <c r="I40" s="19"/>
      <c r="J40" s="19"/>
      <c r="K40" s="19"/>
      <c r="L40" s="19"/>
    </row>
    <row r="41" spans="1:12" x14ac:dyDescent="0.25">
      <c r="A41" s="19"/>
      <c r="B41" s="19"/>
      <c r="C41" s="19"/>
      <c r="D41" s="19"/>
      <c r="E41" s="19"/>
      <c r="F41" s="19"/>
      <c r="G41" s="19"/>
      <c r="H41" s="19"/>
      <c r="I41" s="19"/>
      <c r="J41" s="19"/>
      <c r="K41" s="19"/>
      <c r="L41" s="19"/>
    </row>
    <row r="42" spans="1:12" x14ac:dyDescent="0.25">
      <c r="A42" s="19"/>
      <c r="B42" s="19"/>
      <c r="C42" s="19"/>
      <c r="D42" s="19"/>
      <c r="E42" s="19"/>
      <c r="F42" s="19"/>
      <c r="G42" s="19"/>
      <c r="H42" s="19"/>
      <c r="I42" s="19"/>
      <c r="J42" s="19"/>
      <c r="K42" s="19"/>
      <c r="L42" s="19"/>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DA639-129F-4BDB-A929-72DBF2E20B65}">
  <dimension ref="A1:L37"/>
  <sheetViews>
    <sheetView topLeftCell="A2" workbookViewId="0">
      <selection activeCell="D10" sqref="D10"/>
    </sheetView>
  </sheetViews>
  <sheetFormatPr defaultRowHeight="15" x14ac:dyDescent="0.25"/>
  <cols>
    <col min="5" max="5" width="20.7109375" bestFit="1" customWidth="1"/>
    <col min="6" max="6" width="11.140625" bestFit="1" customWidth="1"/>
    <col min="7" max="7" width="12.85546875" bestFit="1" customWidth="1"/>
    <col min="8" max="8" width="22.42578125" bestFit="1" customWidth="1"/>
    <col min="9" max="10" width="9.42578125" bestFit="1" customWidth="1"/>
    <col min="11" max="11" width="9.7109375" bestFit="1" customWidth="1"/>
    <col min="12" max="12" width="47" bestFit="1" customWidth="1"/>
    <col min="13" max="13" width="44.42578125" bestFit="1" customWidth="1"/>
  </cols>
  <sheetData>
    <row r="1" spans="1:12" ht="15.75" x14ac:dyDescent="0.25">
      <c r="A1" s="48" t="s">
        <v>1077</v>
      </c>
      <c r="B1" s="48"/>
      <c r="C1" s="44"/>
      <c r="D1" s="44"/>
      <c r="E1" s="44"/>
      <c r="F1" s="44"/>
      <c r="G1" s="44"/>
      <c r="H1" s="44"/>
    </row>
    <row r="2" spans="1:12" ht="15.75" x14ac:dyDescent="0.25">
      <c r="A2" s="49" t="s">
        <v>1</v>
      </c>
      <c r="B2" s="49"/>
      <c r="C2" s="44"/>
      <c r="D2" s="44"/>
      <c r="E2" s="44" t="s">
        <v>2</v>
      </c>
      <c r="F2" s="44"/>
      <c r="G2" s="44"/>
      <c r="H2" s="44" t="s">
        <v>3</v>
      </c>
    </row>
    <row r="3" spans="1:12" x14ac:dyDescent="0.25">
      <c r="A3" s="157" t="s">
        <v>349</v>
      </c>
      <c r="B3" s="157" t="s">
        <v>601</v>
      </c>
      <c r="C3" s="157" t="s">
        <v>350</v>
      </c>
      <c r="D3" s="157" t="s">
        <v>351</v>
      </c>
      <c r="E3" s="157" t="s">
        <v>352</v>
      </c>
      <c r="F3" s="157" t="s">
        <v>353</v>
      </c>
      <c r="G3" s="157" t="s">
        <v>354</v>
      </c>
      <c r="H3" s="157" t="s">
        <v>357</v>
      </c>
      <c r="I3" s="157" t="s">
        <v>358</v>
      </c>
      <c r="J3" s="157" t="s">
        <v>355</v>
      </c>
      <c r="K3" s="157" t="s">
        <v>356</v>
      </c>
      <c r="L3" s="157" t="s">
        <v>331</v>
      </c>
    </row>
    <row r="4" spans="1:12" x14ac:dyDescent="0.25">
      <c r="A4" s="9">
        <v>1</v>
      </c>
      <c r="B4" s="9">
        <v>1</v>
      </c>
      <c r="C4" s="10">
        <v>39685</v>
      </c>
      <c r="D4" s="9" t="s">
        <v>366</v>
      </c>
      <c r="E4" s="9" t="s">
        <v>542</v>
      </c>
      <c r="F4" s="9">
        <v>42</v>
      </c>
      <c r="G4" s="9" t="s">
        <v>77</v>
      </c>
      <c r="H4" s="11">
        <v>0.38541666666666669</v>
      </c>
      <c r="I4" s="11">
        <v>0.58680555555555558</v>
      </c>
      <c r="J4" s="12">
        <v>2.62</v>
      </c>
      <c r="K4" s="12">
        <v>3.03</v>
      </c>
      <c r="L4" s="9" t="s">
        <v>588</v>
      </c>
    </row>
    <row r="5" spans="1:12" x14ac:dyDescent="0.25">
      <c r="A5" s="9">
        <v>2</v>
      </c>
      <c r="B5" s="9">
        <v>1</v>
      </c>
      <c r="C5" s="10">
        <v>39685</v>
      </c>
      <c r="D5" s="9" t="s">
        <v>367</v>
      </c>
      <c r="E5" s="9" t="s">
        <v>543</v>
      </c>
      <c r="F5" s="9">
        <v>42</v>
      </c>
      <c r="G5" s="9" t="s">
        <v>77</v>
      </c>
      <c r="H5" s="11">
        <v>0.39652777777777781</v>
      </c>
      <c r="I5" s="11">
        <v>0.6</v>
      </c>
      <c r="J5" s="12">
        <v>2.31</v>
      </c>
      <c r="K5" s="12">
        <v>1.87</v>
      </c>
      <c r="L5" s="9" t="s">
        <v>589</v>
      </c>
    </row>
    <row r="6" spans="1:12" x14ac:dyDescent="0.25">
      <c r="A6" s="9">
        <v>3</v>
      </c>
      <c r="B6" s="9">
        <v>1</v>
      </c>
      <c r="C6" s="10">
        <v>39686</v>
      </c>
      <c r="D6" s="9" t="s">
        <v>365</v>
      </c>
      <c r="E6" s="9" t="s">
        <v>544</v>
      </c>
      <c r="F6" s="9">
        <v>35</v>
      </c>
      <c r="G6" s="9" t="s">
        <v>75</v>
      </c>
      <c r="H6" s="11">
        <v>0.38194444444444442</v>
      </c>
      <c r="I6" s="11">
        <v>0.52083333333333337</v>
      </c>
      <c r="J6" s="12">
        <v>1.1599999999999999</v>
      </c>
      <c r="K6" s="12">
        <v>0.96</v>
      </c>
      <c r="L6" s="9"/>
    </row>
    <row r="7" spans="1:12" x14ac:dyDescent="0.25">
      <c r="A7" s="9">
        <v>4</v>
      </c>
      <c r="B7" s="9">
        <v>1</v>
      </c>
      <c r="C7" s="10">
        <v>39687</v>
      </c>
      <c r="D7" s="9" t="s">
        <v>360</v>
      </c>
      <c r="E7" s="9" t="s">
        <v>545</v>
      </c>
      <c r="F7" s="9">
        <v>77</v>
      </c>
      <c r="G7" s="9" t="s">
        <v>78</v>
      </c>
      <c r="H7" s="11">
        <v>0.40833333333333338</v>
      </c>
      <c r="I7" s="11">
        <v>0.61527777777777781</v>
      </c>
      <c r="J7" s="12">
        <v>1.42</v>
      </c>
      <c r="K7" s="12">
        <v>2.88</v>
      </c>
      <c r="L7" s="9"/>
    </row>
    <row r="8" spans="1:12" x14ac:dyDescent="0.25">
      <c r="A8" s="9">
        <v>5</v>
      </c>
      <c r="B8" s="9">
        <v>1</v>
      </c>
      <c r="C8" s="10">
        <v>39688</v>
      </c>
      <c r="D8" s="9" t="s">
        <v>361</v>
      </c>
      <c r="E8" s="9" t="s">
        <v>546</v>
      </c>
      <c r="F8" s="9">
        <v>77</v>
      </c>
      <c r="G8" s="9" t="s">
        <v>78</v>
      </c>
      <c r="H8" s="11">
        <v>0.39305555555555555</v>
      </c>
      <c r="I8" s="11">
        <v>0.49652777777777773</v>
      </c>
      <c r="J8" s="12">
        <v>2.15</v>
      </c>
      <c r="K8" s="12">
        <v>1.43</v>
      </c>
      <c r="L8" s="9"/>
    </row>
    <row r="9" spans="1:12" x14ac:dyDescent="0.25">
      <c r="A9" s="9">
        <v>6</v>
      </c>
      <c r="B9" s="9">
        <v>1</v>
      </c>
      <c r="C9" s="10">
        <v>39688</v>
      </c>
      <c r="D9" s="9" t="s">
        <v>363</v>
      </c>
      <c r="E9" s="9" t="s">
        <v>547</v>
      </c>
      <c r="F9" s="9" t="s">
        <v>548</v>
      </c>
      <c r="G9" s="9" t="s">
        <v>364</v>
      </c>
      <c r="H9" s="11">
        <v>0.39930555555555558</v>
      </c>
      <c r="I9" s="11">
        <v>0.55208333333333337</v>
      </c>
      <c r="J9" s="12">
        <v>1.82</v>
      </c>
      <c r="K9" s="12">
        <v>1.39</v>
      </c>
      <c r="L9" s="9" t="s">
        <v>590</v>
      </c>
    </row>
    <row r="10" spans="1:12" x14ac:dyDescent="0.25">
      <c r="A10" s="9">
        <v>7</v>
      </c>
      <c r="B10" s="9">
        <v>2</v>
      </c>
      <c r="C10" s="13">
        <v>39707</v>
      </c>
      <c r="D10" s="14" t="s">
        <v>366</v>
      </c>
      <c r="E10" s="14" t="s">
        <v>549</v>
      </c>
      <c r="F10" s="14">
        <v>42</v>
      </c>
      <c r="G10" s="14" t="s">
        <v>77</v>
      </c>
      <c r="H10" s="15">
        <v>0.39583333333333331</v>
      </c>
      <c r="I10" s="15">
        <v>0.57638888888888895</v>
      </c>
      <c r="J10" s="16">
        <v>1.62</v>
      </c>
      <c r="K10" s="16">
        <v>3.19</v>
      </c>
      <c r="L10" s="14" t="s">
        <v>591</v>
      </c>
    </row>
    <row r="11" spans="1:12" x14ac:dyDescent="0.25">
      <c r="A11" s="9">
        <v>8</v>
      </c>
      <c r="B11" s="9">
        <v>2</v>
      </c>
      <c r="C11" s="10">
        <v>39708</v>
      </c>
      <c r="D11" s="9" t="s">
        <v>367</v>
      </c>
      <c r="E11" s="9" t="s">
        <v>550</v>
      </c>
      <c r="F11" s="9">
        <v>42</v>
      </c>
      <c r="G11" s="9" t="s">
        <v>77</v>
      </c>
      <c r="H11" s="11">
        <v>0.40972222222222227</v>
      </c>
      <c r="I11" s="11">
        <v>0.59027777777777779</v>
      </c>
      <c r="J11" s="12">
        <v>1.77</v>
      </c>
      <c r="K11" s="12">
        <v>1.25</v>
      </c>
      <c r="L11" s="9" t="s">
        <v>592</v>
      </c>
    </row>
    <row r="12" spans="1:12" x14ac:dyDescent="0.25">
      <c r="A12" s="9">
        <v>9</v>
      </c>
      <c r="B12" s="9">
        <v>2</v>
      </c>
      <c r="C12" s="10">
        <v>39708</v>
      </c>
      <c r="D12" s="9" t="s">
        <v>365</v>
      </c>
      <c r="E12" s="9" t="s">
        <v>551</v>
      </c>
      <c r="F12" s="9">
        <v>36</v>
      </c>
      <c r="G12" s="9" t="s">
        <v>75</v>
      </c>
      <c r="H12" s="11">
        <v>0.41666666666666669</v>
      </c>
      <c r="I12" s="11">
        <v>0.54166666666666663</v>
      </c>
      <c r="J12" s="12">
        <v>2.8</v>
      </c>
      <c r="K12" s="12">
        <v>1.39</v>
      </c>
      <c r="L12" s="9" t="s">
        <v>591</v>
      </c>
    </row>
    <row r="13" spans="1:12" x14ac:dyDescent="0.25">
      <c r="A13" s="9">
        <v>10</v>
      </c>
      <c r="B13" s="9">
        <v>2</v>
      </c>
      <c r="C13" s="10">
        <v>39709</v>
      </c>
      <c r="D13" s="9" t="s">
        <v>360</v>
      </c>
      <c r="E13" s="9" t="s">
        <v>552</v>
      </c>
      <c r="F13" s="9">
        <v>79</v>
      </c>
      <c r="G13" s="9" t="s">
        <v>78</v>
      </c>
      <c r="H13" s="11">
        <v>0.3666666666666667</v>
      </c>
      <c r="I13" s="11">
        <v>0.52430555555555558</v>
      </c>
      <c r="J13" s="12">
        <v>1.95</v>
      </c>
      <c r="K13" s="12">
        <v>2.33</v>
      </c>
      <c r="L13" s="9" t="s">
        <v>593</v>
      </c>
    </row>
    <row r="14" spans="1:12" x14ac:dyDescent="0.25">
      <c r="A14" s="9">
        <v>11</v>
      </c>
      <c r="B14" s="9">
        <v>2</v>
      </c>
      <c r="C14" s="10">
        <v>39709</v>
      </c>
      <c r="D14" s="9" t="s">
        <v>361</v>
      </c>
      <c r="E14" s="9" t="s">
        <v>553</v>
      </c>
      <c r="F14" s="9">
        <v>78</v>
      </c>
      <c r="G14" s="9" t="s">
        <v>78</v>
      </c>
      <c r="H14" s="11">
        <v>0.4236111111111111</v>
      </c>
      <c r="I14" s="11">
        <v>0.57708333333333328</v>
      </c>
      <c r="J14" s="12">
        <v>1.02</v>
      </c>
      <c r="K14" s="12">
        <v>0.83</v>
      </c>
      <c r="L14" s="9"/>
    </row>
    <row r="15" spans="1:12" x14ac:dyDescent="0.25">
      <c r="A15" s="9">
        <v>12</v>
      </c>
      <c r="B15" s="9">
        <v>2</v>
      </c>
      <c r="C15" s="10">
        <v>39710</v>
      </c>
      <c r="D15" s="9" t="s">
        <v>363</v>
      </c>
      <c r="E15" s="9" t="s">
        <v>554</v>
      </c>
      <c r="F15" s="9" t="s">
        <v>555</v>
      </c>
      <c r="G15" s="9" t="s">
        <v>364</v>
      </c>
      <c r="H15" s="11">
        <v>0.38541666666666669</v>
      </c>
      <c r="I15" s="11">
        <v>0.50069444444444444</v>
      </c>
      <c r="J15" s="12">
        <v>1</v>
      </c>
      <c r="K15" s="12">
        <v>1.33</v>
      </c>
      <c r="L15" s="9" t="s">
        <v>594</v>
      </c>
    </row>
    <row r="16" spans="1:12" x14ac:dyDescent="0.25">
      <c r="A16" s="9">
        <v>13</v>
      </c>
      <c r="B16" s="9">
        <v>3</v>
      </c>
      <c r="C16" s="10">
        <v>39720</v>
      </c>
      <c r="D16" s="9" t="s">
        <v>366</v>
      </c>
      <c r="E16" s="9" t="s">
        <v>556</v>
      </c>
      <c r="F16" s="9">
        <v>42</v>
      </c>
      <c r="G16" s="9" t="s">
        <v>77</v>
      </c>
      <c r="H16" s="11">
        <v>0.43472222222222223</v>
      </c>
      <c r="I16" s="11">
        <v>0.68055555555555547</v>
      </c>
      <c r="J16" s="12">
        <v>1.71</v>
      </c>
      <c r="K16" s="12">
        <v>3.65</v>
      </c>
      <c r="L16" s="9"/>
    </row>
    <row r="17" spans="1:12" x14ac:dyDescent="0.25">
      <c r="A17" s="9">
        <v>14</v>
      </c>
      <c r="B17" s="9">
        <v>3</v>
      </c>
      <c r="C17" s="10">
        <v>39721</v>
      </c>
      <c r="D17" s="9" t="s">
        <v>443</v>
      </c>
      <c r="E17" s="9" t="s">
        <v>557</v>
      </c>
      <c r="F17" s="9">
        <v>42</v>
      </c>
      <c r="G17" s="9" t="s">
        <v>77</v>
      </c>
      <c r="H17" s="11">
        <v>0.3888888888888889</v>
      </c>
      <c r="I17" s="11">
        <v>0.54513888888888895</v>
      </c>
      <c r="J17" s="12">
        <v>2.96</v>
      </c>
      <c r="K17" s="12">
        <v>2.9</v>
      </c>
      <c r="L17" s="9"/>
    </row>
    <row r="18" spans="1:12" x14ac:dyDescent="0.25">
      <c r="A18" s="9">
        <v>15</v>
      </c>
      <c r="B18" s="9">
        <v>3</v>
      </c>
      <c r="C18" s="10">
        <v>39721</v>
      </c>
      <c r="D18" s="9" t="s">
        <v>445</v>
      </c>
      <c r="E18" s="9" t="s">
        <v>558</v>
      </c>
      <c r="F18" s="9">
        <v>42</v>
      </c>
      <c r="G18" s="9" t="s">
        <v>77</v>
      </c>
      <c r="H18" s="11">
        <v>0.4</v>
      </c>
      <c r="I18" s="11">
        <v>0.4548611111111111</v>
      </c>
      <c r="J18" s="12">
        <v>1.72</v>
      </c>
      <c r="K18" s="12">
        <v>1.58</v>
      </c>
      <c r="L18" s="9" t="s">
        <v>595</v>
      </c>
    </row>
    <row r="19" spans="1:12" x14ac:dyDescent="0.25">
      <c r="A19" s="9">
        <v>16</v>
      </c>
      <c r="B19" s="9">
        <v>3</v>
      </c>
      <c r="C19" s="10">
        <v>39722</v>
      </c>
      <c r="D19" s="9" t="s">
        <v>365</v>
      </c>
      <c r="E19" s="9" t="s">
        <v>559</v>
      </c>
      <c r="F19" s="9">
        <v>36</v>
      </c>
      <c r="G19" s="9" t="s">
        <v>75</v>
      </c>
      <c r="H19" s="11">
        <v>0.40486111111111112</v>
      </c>
      <c r="I19" s="11">
        <v>0.67847222222222225</v>
      </c>
      <c r="J19" s="12">
        <v>2.84</v>
      </c>
      <c r="K19" s="12">
        <v>2.8</v>
      </c>
      <c r="L19" s="9" t="s">
        <v>596</v>
      </c>
    </row>
    <row r="20" spans="1:12" x14ac:dyDescent="0.25">
      <c r="A20" s="9">
        <v>17</v>
      </c>
      <c r="B20" s="9">
        <v>3</v>
      </c>
      <c r="C20" s="10">
        <v>39722</v>
      </c>
      <c r="D20" s="9" t="s">
        <v>360</v>
      </c>
      <c r="E20" s="9" t="s">
        <v>560</v>
      </c>
      <c r="F20" s="9">
        <v>79</v>
      </c>
      <c r="G20" s="9" t="s">
        <v>78</v>
      </c>
      <c r="H20" s="11">
        <v>0.43055555555555558</v>
      </c>
      <c r="I20" s="11">
        <v>0.67500000000000004</v>
      </c>
      <c r="J20" s="12">
        <v>2.4500000000000002</v>
      </c>
      <c r="K20" s="12">
        <v>2.39</v>
      </c>
      <c r="L20" s="9" t="s">
        <v>597</v>
      </c>
    </row>
    <row r="21" spans="1:12" x14ac:dyDescent="0.25">
      <c r="A21" s="9">
        <v>18</v>
      </c>
      <c r="B21" s="9">
        <v>3</v>
      </c>
      <c r="C21" s="10">
        <v>39723</v>
      </c>
      <c r="D21" s="9" t="s">
        <v>361</v>
      </c>
      <c r="E21" s="9" t="s">
        <v>561</v>
      </c>
      <c r="F21" s="9">
        <v>79</v>
      </c>
      <c r="G21" s="9" t="s">
        <v>78</v>
      </c>
      <c r="H21" s="11">
        <v>0.3972222222222222</v>
      </c>
      <c r="I21" s="11">
        <v>0.58333333333333337</v>
      </c>
      <c r="J21" s="12">
        <v>2.46</v>
      </c>
      <c r="K21" s="12">
        <v>1.62</v>
      </c>
      <c r="L21" s="9"/>
    </row>
    <row r="22" spans="1:12" x14ac:dyDescent="0.25">
      <c r="A22" s="9">
        <v>19</v>
      </c>
      <c r="B22" s="9">
        <v>3</v>
      </c>
      <c r="C22" s="10">
        <v>39724</v>
      </c>
      <c r="D22" s="9" t="s">
        <v>363</v>
      </c>
      <c r="E22" s="9" t="s">
        <v>562</v>
      </c>
      <c r="F22" s="9" t="s">
        <v>563</v>
      </c>
      <c r="G22" s="9" t="s">
        <v>364</v>
      </c>
      <c r="H22" s="17" t="s">
        <v>564</v>
      </c>
      <c r="I22" s="11">
        <v>0.5625</v>
      </c>
      <c r="J22" s="12">
        <v>1.74</v>
      </c>
      <c r="K22" s="12">
        <v>2</v>
      </c>
      <c r="L22" s="9"/>
    </row>
    <row r="23" spans="1:12" x14ac:dyDescent="0.25">
      <c r="A23" s="9">
        <v>20</v>
      </c>
      <c r="B23" s="9">
        <v>4</v>
      </c>
      <c r="C23" s="10">
        <v>39735</v>
      </c>
      <c r="D23" s="9" t="s">
        <v>366</v>
      </c>
      <c r="E23" s="9" t="s">
        <v>565</v>
      </c>
      <c r="F23" s="9">
        <v>39</v>
      </c>
      <c r="G23" s="17" t="s">
        <v>77</v>
      </c>
      <c r="H23" s="17" t="s">
        <v>566</v>
      </c>
      <c r="I23" s="11">
        <v>0.69791666666666663</v>
      </c>
      <c r="J23" s="12">
        <v>3.83</v>
      </c>
      <c r="K23" s="12">
        <v>2.54</v>
      </c>
      <c r="L23" s="9"/>
    </row>
    <row r="24" spans="1:12" x14ac:dyDescent="0.25">
      <c r="A24" s="9">
        <v>21</v>
      </c>
      <c r="B24" s="9">
        <v>4</v>
      </c>
      <c r="C24" s="10">
        <v>39735</v>
      </c>
      <c r="D24" s="9" t="s">
        <v>367</v>
      </c>
      <c r="E24" s="9" t="s">
        <v>567</v>
      </c>
      <c r="F24" s="9">
        <v>39</v>
      </c>
      <c r="G24" s="18" t="s">
        <v>77</v>
      </c>
      <c r="H24" s="17" t="s">
        <v>568</v>
      </c>
      <c r="I24" s="11">
        <v>0.66388888888888886</v>
      </c>
      <c r="J24" s="12">
        <v>1.99</v>
      </c>
      <c r="K24" s="12">
        <v>1.62</v>
      </c>
      <c r="L24" s="9" t="s">
        <v>598</v>
      </c>
    </row>
    <row r="25" spans="1:12" x14ac:dyDescent="0.25">
      <c r="A25" s="9">
        <v>22</v>
      </c>
      <c r="B25" s="9">
        <v>4</v>
      </c>
      <c r="C25" s="10">
        <v>39736</v>
      </c>
      <c r="D25" s="9" t="s">
        <v>365</v>
      </c>
      <c r="E25" s="9" t="s">
        <v>541</v>
      </c>
      <c r="F25" s="9">
        <v>38</v>
      </c>
      <c r="G25" s="17" t="s">
        <v>75</v>
      </c>
      <c r="H25" s="17" t="s">
        <v>388</v>
      </c>
      <c r="I25" s="11">
        <v>0.63541666666666663</v>
      </c>
      <c r="J25" s="12">
        <v>1.74</v>
      </c>
      <c r="K25" s="12">
        <v>1.67</v>
      </c>
      <c r="L25" s="9"/>
    </row>
    <row r="26" spans="1:12" x14ac:dyDescent="0.25">
      <c r="A26" s="9">
        <v>23</v>
      </c>
      <c r="B26" s="9">
        <v>4</v>
      </c>
      <c r="C26" s="10">
        <v>39736</v>
      </c>
      <c r="D26" s="9" t="s">
        <v>360</v>
      </c>
      <c r="E26" s="9" t="s">
        <v>569</v>
      </c>
      <c r="F26" s="9">
        <v>77</v>
      </c>
      <c r="G26" s="17" t="s">
        <v>78</v>
      </c>
      <c r="H26" s="17" t="s">
        <v>570</v>
      </c>
      <c r="I26" s="11">
        <v>0.70833333333333337</v>
      </c>
      <c r="J26" s="12">
        <v>1.73</v>
      </c>
      <c r="K26" s="12">
        <v>1.38</v>
      </c>
      <c r="L26" s="9"/>
    </row>
    <row r="27" spans="1:12" x14ac:dyDescent="0.25">
      <c r="A27" s="9">
        <v>24</v>
      </c>
      <c r="B27" s="9">
        <v>4</v>
      </c>
      <c r="C27" s="10">
        <v>39737</v>
      </c>
      <c r="D27" s="9" t="s">
        <v>361</v>
      </c>
      <c r="E27" s="9" t="s">
        <v>571</v>
      </c>
      <c r="F27" s="9">
        <v>77</v>
      </c>
      <c r="G27" s="17" t="s">
        <v>78</v>
      </c>
      <c r="H27" s="17" t="s">
        <v>572</v>
      </c>
      <c r="I27" s="11">
        <v>0.47569444444444442</v>
      </c>
      <c r="J27" s="12">
        <v>1.4</v>
      </c>
      <c r="K27" s="12">
        <v>1.43</v>
      </c>
      <c r="L27" s="9"/>
    </row>
    <row r="28" spans="1:12" x14ac:dyDescent="0.25">
      <c r="A28" s="9">
        <v>25</v>
      </c>
      <c r="B28" s="9">
        <v>4</v>
      </c>
      <c r="C28" s="10">
        <v>39737</v>
      </c>
      <c r="D28" s="9" t="s">
        <v>363</v>
      </c>
      <c r="E28" s="9" t="s">
        <v>573</v>
      </c>
      <c r="F28" s="9" t="s">
        <v>574</v>
      </c>
      <c r="G28" s="17" t="s">
        <v>364</v>
      </c>
      <c r="H28" s="17" t="s">
        <v>575</v>
      </c>
      <c r="I28" s="11">
        <v>0.5444444444444444</v>
      </c>
      <c r="J28" s="12">
        <v>1.8</v>
      </c>
      <c r="K28" s="12">
        <v>2</v>
      </c>
      <c r="L28" s="9"/>
    </row>
    <row r="29" spans="1:12" x14ac:dyDescent="0.25">
      <c r="A29" s="9">
        <v>26</v>
      </c>
      <c r="B29" s="9">
        <v>5</v>
      </c>
      <c r="C29" s="10">
        <v>39748</v>
      </c>
      <c r="D29" s="9" t="s">
        <v>366</v>
      </c>
      <c r="E29" s="9" t="s">
        <v>576</v>
      </c>
      <c r="F29" s="9">
        <v>39</v>
      </c>
      <c r="G29" s="17" t="s">
        <v>77</v>
      </c>
      <c r="H29" s="17" t="s">
        <v>577</v>
      </c>
      <c r="I29" s="11">
        <v>0.55555555555555558</v>
      </c>
      <c r="J29" s="12">
        <v>1.1000000000000001</v>
      </c>
      <c r="K29" s="12">
        <v>2.2999999999999998</v>
      </c>
      <c r="L29" s="9"/>
    </row>
    <row r="30" spans="1:12" x14ac:dyDescent="0.25">
      <c r="A30" s="9">
        <v>27</v>
      </c>
      <c r="B30" s="9">
        <v>5</v>
      </c>
      <c r="C30" s="13">
        <v>39749</v>
      </c>
      <c r="D30" s="9" t="s">
        <v>367</v>
      </c>
      <c r="E30" s="9" t="s">
        <v>578</v>
      </c>
      <c r="F30" s="9">
        <v>42</v>
      </c>
      <c r="G30" s="17" t="s">
        <v>77</v>
      </c>
      <c r="H30" s="15">
        <v>0.40277777777777773</v>
      </c>
      <c r="I30" s="15">
        <v>0.55555555555555558</v>
      </c>
      <c r="J30" s="12">
        <v>3.06</v>
      </c>
      <c r="K30" s="12">
        <v>2.15</v>
      </c>
      <c r="L30" s="9"/>
    </row>
    <row r="31" spans="1:12" x14ac:dyDescent="0.25">
      <c r="A31" s="9">
        <v>28</v>
      </c>
      <c r="B31" s="9">
        <v>5</v>
      </c>
      <c r="C31" s="13">
        <v>39751</v>
      </c>
      <c r="D31" s="9" t="s">
        <v>363</v>
      </c>
      <c r="E31" s="9" t="s">
        <v>579</v>
      </c>
      <c r="F31" s="9" t="s">
        <v>580</v>
      </c>
      <c r="G31" s="17" t="s">
        <v>364</v>
      </c>
      <c r="H31" s="15">
        <v>0.375</v>
      </c>
      <c r="I31" s="15">
        <v>0.51736111111111105</v>
      </c>
      <c r="J31" s="12">
        <v>3.34</v>
      </c>
      <c r="K31" s="12">
        <v>3.94</v>
      </c>
      <c r="L31" s="9" t="s">
        <v>599</v>
      </c>
    </row>
    <row r="32" spans="1:12" x14ac:dyDescent="0.25">
      <c r="A32" s="9">
        <v>29</v>
      </c>
      <c r="B32" s="9">
        <v>6</v>
      </c>
      <c r="C32" s="13">
        <v>39762</v>
      </c>
      <c r="D32" s="9" t="s">
        <v>366</v>
      </c>
      <c r="E32" s="9" t="s">
        <v>581</v>
      </c>
      <c r="F32" s="9">
        <v>42</v>
      </c>
      <c r="G32" s="17" t="s">
        <v>77</v>
      </c>
      <c r="H32" s="15">
        <v>0.38124999999999998</v>
      </c>
      <c r="I32" s="15">
        <v>0.53472222222222221</v>
      </c>
      <c r="J32" s="12">
        <v>3.15</v>
      </c>
      <c r="K32" s="12">
        <v>1.79</v>
      </c>
      <c r="L32" s="14"/>
    </row>
    <row r="33" spans="1:12" x14ac:dyDescent="0.25">
      <c r="A33" s="9">
        <v>30</v>
      </c>
      <c r="B33" s="9">
        <v>6</v>
      </c>
      <c r="C33" s="13">
        <v>39764</v>
      </c>
      <c r="D33" s="9" t="s">
        <v>367</v>
      </c>
      <c r="E33" s="9" t="s">
        <v>582</v>
      </c>
      <c r="F33" s="9">
        <v>42</v>
      </c>
      <c r="G33" s="17" t="s">
        <v>77</v>
      </c>
      <c r="H33" s="15">
        <v>0.39583333333333331</v>
      </c>
      <c r="I33" s="15">
        <v>0.5625</v>
      </c>
      <c r="J33" s="12">
        <v>1.83</v>
      </c>
      <c r="K33" s="12">
        <v>2.0099999999999998</v>
      </c>
      <c r="L33" s="14" t="s">
        <v>600</v>
      </c>
    </row>
    <row r="34" spans="1:12" x14ac:dyDescent="0.25">
      <c r="A34" s="9">
        <v>31</v>
      </c>
      <c r="B34" s="9">
        <v>6</v>
      </c>
      <c r="C34" s="13">
        <v>39764</v>
      </c>
      <c r="D34" s="9" t="s">
        <v>365</v>
      </c>
      <c r="E34" s="9" t="s">
        <v>583</v>
      </c>
      <c r="F34" s="9">
        <v>38</v>
      </c>
      <c r="G34" s="17" t="s">
        <v>75</v>
      </c>
      <c r="H34" s="15">
        <v>0.3888888888888889</v>
      </c>
      <c r="I34" s="15">
        <v>0.5</v>
      </c>
      <c r="J34" s="12">
        <v>2.58</v>
      </c>
      <c r="K34" s="12">
        <v>1.57</v>
      </c>
      <c r="L34" s="14"/>
    </row>
    <row r="35" spans="1:12" x14ac:dyDescent="0.25">
      <c r="A35" s="9">
        <v>32</v>
      </c>
      <c r="B35" s="9">
        <v>6</v>
      </c>
      <c r="C35" s="13">
        <v>39765</v>
      </c>
      <c r="D35" s="9" t="s">
        <v>360</v>
      </c>
      <c r="E35" s="9" t="s">
        <v>584</v>
      </c>
      <c r="F35" s="9">
        <v>78</v>
      </c>
      <c r="G35" s="17" t="s">
        <v>78</v>
      </c>
      <c r="H35" s="15">
        <v>0.40138888888888885</v>
      </c>
      <c r="I35" s="15">
        <v>0.5625</v>
      </c>
      <c r="J35" s="12">
        <v>2.19</v>
      </c>
      <c r="K35" s="12">
        <v>1.41</v>
      </c>
      <c r="L35" s="9"/>
    </row>
    <row r="36" spans="1:12" x14ac:dyDescent="0.25">
      <c r="A36" s="9">
        <v>33</v>
      </c>
      <c r="B36" s="9">
        <v>6</v>
      </c>
      <c r="C36" s="13">
        <v>39766</v>
      </c>
      <c r="D36" s="9" t="s">
        <v>361</v>
      </c>
      <c r="E36" s="9" t="s">
        <v>585</v>
      </c>
      <c r="F36" s="9">
        <v>81</v>
      </c>
      <c r="G36" s="17" t="s">
        <v>78</v>
      </c>
      <c r="H36" s="15">
        <v>0.44444444444444442</v>
      </c>
      <c r="I36" s="15">
        <v>0.58194444444444449</v>
      </c>
      <c r="J36" s="12">
        <v>4.25</v>
      </c>
      <c r="K36" s="12">
        <v>1.6</v>
      </c>
      <c r="L36" s="14"/>
    </row>
    <row r="37" spans="1:12" x14ac:dyDescent="0.25">
      <c r="A37" s="9">
        <v>34</v>
      </c>
      <c r="B37" s="9">
        <v>6</v>
      </c>
      <c r="C37" s="13">
        <v>39766</v>
      </c>
      <c r="D37" s="9" t="s">
        <v>363</v>
      </c>
      <c r="E37" s="9" t="s">
        <v>586</v>
      </c>
      <c r="F37" s="9" t="s">
        <v>587</v>
      </c>
      <c r="G37" s="17" t="s">
        <v>364</v>
      </c>
      <c r="H37" s="15">
        <v>0.43472222222222223</v>
      </c>
      <c r="I37" s="15">
        <v>0.60416666666666663</v>
      </c>
      <c r="J37" s="12">
        <v>1.3</v>
      </c>
      <c r="K37" s="12">
        <v>2.52</v>
      </c>
      <c r="L37" s="9"/>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07581-3FD8-4160-AB41-7646D716911E}">
  <dimension ref="A1:M18"/>
  <sheetViews>
    <sheetView workbookViewId="0">
      <selection activeCell="N10" sqref="N10"/>
    </sheetView>
  </sheetViews>
  <sheetFormatPr defaultRowHeight="15" x14ac:dyDescent="0.25"/>
  <cols>
    <col min="1" max="2" width="9.28515625" bestFit="1" customWidth="1"/>
    <col min="3" max="3" width="10.140625" bestFit="1" customWidth="1"/>
    <col min="5" max="5" width="20.7109375" bestFit="1" customWidth="1"/>
    <col min="6" max="6" width="11.85546875" bestFit="1" customWidth="1"/>
    <col min="7" max="7" width="21.85546875" style="1" bestFit="1" customWidth="1"/>
    <col min="8" max="8" width="10.5703125" bestFit="1" customWidth="1"/>
    <col min="9" max="9" width="9.28515625" bestFit="1" customWidth="1"/>
    <col min="10" max="10" width="10.42578125" bestFit="1" customWidth="1"/>
  </cols>
  <sheetData>
    <row r="1" spans="1:13" ht="15.75" x14ac:dyDescent="0.25">
      <c r="A1" s="48" t="s">
        <v>1078</v>
      </c>
      <c r="B1" s="48"/>
      <c r="C1" s="44"/>
      <c r="D1" s="44"/>
      <c r="E1" s="44"/>
      <c r="F1" s="44"/>
      <c r="G1" s="44"/>
    </row>
    <row r="2" spans="1:13" ht="15.75" x14ac:dyDescent="0.25">
      <c r="A2" s="49" t="s">
        <v>1</v>
      </c>
      <c r="B2" s="49"/>
      <c r="C2" s="44"/>
      <c r="D2" s="44"/>
      <c r="E2" s="44" t="s">
        <v>2</v>
      </c>
      <c r="F2" s="44"/>
      <c r="G2" s="44" t="s">
        <v>3</v>
      </c>
    </row>
    <row r="3" spans="1:13" ht="15.75" x14ac:dyDescent="0.25">
      <c r="A3" s="136" t="s">
        <v>4</v>
      </c>
      <c r="B3" s="59" t="s">
        <v>601</v>
      </c>
      <c r="C3" s="59" t="s">
        <v>5</v>
      </c>
      <c r="D3" s="158" t="s">
        <v>7</v>
      </c>
      <c r="E3" s="158" t="s">
        <v>6</v>
      </c>
      <c r="F3" s="158" t="s">
        <v>8</v>
      </c>
      <c r="G3" s="107" t="s">
        <v>602</v>
      </c>
      <c r="H3" s="158" t="s">
        <v>603</v>
      </c>
      <c r="I3" s="160" t="s">
        <v>604</v>
      </c>
      <c r="J3" s="159" t="s">
        <v>605</v>
      </c>
      <c r="K3" s="102"/>
      <c r="L3" s="102"/>
      <c r="M3" s="102"/>
    </row>
    <row r="4" spans="1:13" ht="15.75" x14ac:dyDescent="0.25">
      <c r="A4" s="102">
        <v>1</v>
      </c>
      <c r="B4" s="111">
        <v>1</v>
      </c>
      <c r="C4" s="124">
        <v>40092</v>
      </c>
      <c r="D4" s="125" t="s">
        <v>366</v>
      </c>
      <c r="E4" s="125" t="s">
        <v>607</v>
      </c>
      <c r="F4" s="164">
        <v>44.1</v>
      </c>
      <c r="G4" s="114" t="s">
        <v>608</v>
      </c>
      <c r="H4" s="125">
        <v>51</v>
      </c>
      <c r="I4" s="164">
        <v>0.9</v>
      </c>
      <c r="J4" s="125" t="s">
        <v>609</v>
      </c>
      <c r="K4" s="102"/>
      <c r="L4" s="102"/>
      <c r="M4" s="102"/>
    </row>
    <row r="5" spans="1:13" ht="15.75" x14ac:dyDescent="0.25">
      <c r="A5" s="102">
        <v>2</v>
      </c>
      <c r="B5" s="111">
        <v>1</v>
      </c>
      <c r="C5" s="124">
        <v>40092</v>
      </c>
      <c r="D5" s="125" t="s">
        <v>443</v>
      </c>
      <c r="E5" s="125" t="s">
        <v>610</v>
      </c>
      <c r="F5" s="164">
        <v>44.1</v>
      </c>
      <c r="G5" s="114" t="s">
        <v>611</v>
      </c>
      <c r="H5" s="125">
        <v>50</v>
      </c>
      <c r="I5" s="164">
        <v>1.6</v>
      </c>
      <c r="J5" s="125" t="s">
        <v>612</v>
      </c>
      <c r="K5" s="102"/>
      <c r="L5" s="102"/>
      <c r="M5" s="102"/>
    </row>
    <row r="6" spans="1:13" ht="15.75" x14ac:dyDescent="0.25">
      <c r="A6" s="102">
        <v>3</v>
      </c>
      <c r="B6" s="111">
        <v>1</v>
      </c>
      <c r="C6" s="124">
        <v>40093</v>
      </c>
      <c r="D6" s="125" t="s">
        <v>445</v>
      </c>
      <c r="E6" s="125" t="s">
        <v>613</v>
      </c>
      <c r="F6" s="164">
        <v>44.1</v>
      </c>
      <c r="G6" s="114" t="s">
        <v>614</v>
      </c>
      <c r="H6" s="125">
        <v>52</v>
      </c>
      <c r="I6" s="164">
        <v>1</v>
      </c>
      <c r="J6" s="125" t="s">
        <v>615</v>
      </c>
      <c r="K6" s="102"/>
      <c r="L6" s="102"/>
      <c r="M6" s="102"/>
    </row>
    <row r="7" spans="1:13" ht="15.75" x14ac:dyDescent="0.25">
      <c r="A7" s="102">
        <v>4</v>
      </c>
      <c r="B7" s="111">
        <v>1</v>
      </c>
      <c r="C7" s="124">
        <v>40093</v>
      </c>
      <c r="D7" s="125" t="s">
        <v>365</v>
      </c>
      <c r="E7" s="125" t="s">
        <v>616</v>
      </c>
      <c r="F7" s="164">
        <v>37.9</v>
      </c>
      <c r="G7" s="114" t="s">
        <v>617</v>
      </c>
      <c r="H7" s="125">
        <v>51</v>
      </c>
      <c r="I7" s="164">
        <v>1.4</v>
      </c>
      <c r="J7" s="125" t="s">
        <v>618</v>
      </c>
      <c r="K7" s="102"/>
      <c r="L7" s="102"/>
      <c r="M7" s="102"/>
    </row>
    <row r="8" spans="1:13" ht="15.75" x14ac:dyDescent="0.25">
      <c r="A8" s="102">
        <v>5</v>
      </c>
      <c r="B8" s="111">
        <v>1</v>
      </c>
      <c r="C8" s="124">
        <v>40094</v>
      </c>
      <c r="D8" s="125" t="s">
        <v>360</v>
      </c>
      <c r="E8" s="125" t="s">
        <v>619</v>
      </c>
      <c r="F8" s="164">
        <v>81.7</v>
      </c>
      <c r="G8" s="114" t="s">
        <v>620</v>
      </c>
      <c r="H8" s="125">
        <v>50</v>
      </c>
      <c r="I8" s="164">
        <v>3</v>
      </c>
      <c r="J8" s="125" t="s">
        <v>621</v>
      </c>
      <c r="K8" s="102"/>
      <c r="L8" s="102"/>
      <c r="M8" s="102"/>
    </row>
    <row r="9" spans="1:13" ht="15.75" x14ac:dyDescent="0.25">
      <c r="A9" s="102">
        <v>6</v>
      </c>
      <c r="B9" s="111">
        <v>1</v>
      </c>
      <c r="C9" s="124">
        <v>40094</v>
      </c>
      <c r="D9" s="125" t="s">
        <v>361</v>
      </c>
      <c r="E9" s="125" t="s">
        <v>622</v>
      </c>
      <c r="F9" s="164">
        <v>81.7</v>
      </c>
      <c r="G9" s="114" t="s">
        <v>623</v>
      </c>
      <c r="H9" s="125">
        <v>53</v>
      </c>
      <c r="I9" s="164">
        <v>1.6</v>
      </c>
      <c r="J9" s="125" t="s">
        <v>624</v>
      </c>
      <c r="K9" s="102"/>
      <c r="L9" s="102"/>
      <c r="M9" s="102"/>
    </row>
    <row r="10" spans="1:13" ht="15.75" x14ac:dyDescent="0.25">
      <c r="A10" s="102">
        <v>7</v>
      </c>
      <c r="B10" s="111">
        <v>1</v>
      </c>
      <c r="C10" s="124">
        <v>40095</v>
      </c>
      <c r="D10" s="125" t="s">
        <v>363</v>
      </c>
      <c r="E10" s="125" t="s">
        <v>625</v>
      </c>
      <c r="F10" s="165" t="s">
        <v>626</v>
      </c>
      <c r="G10" s="114" t="s">
        <v>627</v>
      </c>
      <c r="H10" s="125">
        <v>52</v>
      </c>
      <c r="I10" s="164">
        <v>2.2999999999999998</v>
      </c>
      <c r="J10" s="125" t="s">
        <v>628</v>
      </c>
      <c r="K10" s="102"/>
      <c r="L10" s="102"/>
      <c r="M10" s="102"/>
    </row>
    <row r="11" spans="1:13" ht="15.75" x14ac:dyDescent="0.25">
      <c r="A11" s="102">
        <v>8</v>
      </c>
      <c r="B11" s="111">
        <v>2</v>
      </c>
      <c r="C11" s="124">
        <v>40121</v>
      </c>
      <c r="D11" s="125" t="s">
        <v>366</v>
      </c>
      <c r="E11" s="125" t="s">
        <v>629</v>
      </c>
      <c r="F11" s="164">
        <v>43.3</v>
      </c>
      <c r="G11" s="114" t="s">
        <v>630</v>
      </c>
      <c r="H11" s="125">
        <v>51</v>
      </c>
      <c r="I11" s="164">
        <v>1.7</v>
      </c>
      <c r="J11" s="125" t="s">
        <v>631</v>
      </c>
      <c r="K11" s="102"/>
      <c r="L11" s="102"/>
      <c r="M11" s="102"/>
    </row>
    <row r="12" spans="1:13" ht="15.75" x14ac:dyDescent="0.25">
      <c r="A12" s="102">
        <v>9</v>
      </c>
      <c r="B12" s="111">
        <v>2</v>
      </c>
      <c r="C12" s="124">
        <v>40121</v>
      </c>
      <c r="D12" s="125" t="s">
        <v>367</v>
      </c>
      <c r="E12" s="125" t="s">
        <v>632</v>
      </c>
      <c r="F12" s="164">
        <v>43.3</v>
      </c>
      <c r="G12" s="114" t="s">
        <v>633</v>
      </c>
      <c r="H12" s="125">
        <v>54</v>
      </c>
      <c r="I12" s="164">
        <v>1.8</v>
      </c>
      <c r="J12" s="125" t="s">
        <v>634</v>
      </c>
      <c r="K12" s="102"/>
      <c r="L12" s="102"/>
      <c r="M12" s="102"/>
    </row>
    <row r="13" spans="1:13" ht="15.75" x14ac:dyDescent="0.25">
      <c r="A13" s="102">
        <v>10</v>
      </c>
      <c r="B13" s="111">
        <v>2</v>
      </c>
      <c r="C13" s="124">
        <v>40122</v>
      </c>
      <c r="D13" s="125" t="s">
        <v>365</v>
      </c>
      <c r="E13" s="125" t="s">
        <v>635</v>
      </c>
      <c r="F13" s="164">
        <v>37</v>
      </c>
      <c r="G13" s="114" t="s">
        <v>636</v>
      </c>
      <c r="H13" s="125">
        <v>50</v>
      </c>
      <c r="I13" s="164">
        <v>2.6</v>
      </c>
      <c r="J13" s="125" t="s">
        <v>637</v>
      </c>
      <c r="K13" s="102"/>
      <c r="L13" s="102"/>
      <c r="M13" s="102"/>
    </row>
    <row r="14" spans="1:13" ht="15.75" x14ac:dyDescent="0.25">
      <c r="A14" s="102">
        <v>11</v>
      </c>
      <c r="B14" s="111">
        <v>2</v>
      </c>
      <c r="C14" s="124">
        <v>40122</v>
      </c>
      <c r="D14" s="125" t="s">
        <v>360</v>
      </c>
      <c r="E14" s="125" t="s">
        <v>638</v>
      </c>
      <c r="F14" s="164">
        <v>79.599999999999994</v>
      </c>
      <c r="G14" s="114" t="s">
        <v>639</v>
      </c>
      <c r="H14" s="125">
        <v>56</v>
      </c>
      <c r="I14" s="164">
        <v>2.6</v>
      </c>
      <c r="J14" s="125" t="s">
        <v>640</v>
      </c>
      <c r="K14" s="102"/>
      <c r="L14" s="102"/>
      <c r="M14" s="102"/>
    </row>
    <row r="15" spans="1:13" ht="15.75" x14ac:dyDescent="0.25">
      <c r="A15" s="102">
        <v>12</v>
      </c>
      <c r="B15" s="111">
        <v>2</v>
      </c>
      <c r="C15" s="124">
        <v>40123</v>
      </c>
      <c r="D15" s="125" t="s">
        <v>361</v>
      </c>
      <c r="E15" s="125" t="s">
        <v>641</v>
      </c>
      <c r="F15" s="164">
        <v>81.2</v>
      </c>
      <c r="G15" s="114" t="s">
        <v>642</v>
      </c>
      <c r="H15" s="125">
        <v>60</v>
      </c>
      <c r="I15" s="164">
        <v>1.3</v>
      </c>
      <c r="J15" s="125" t="s">
        <v>643</v>
      </c>
      <c r="K15" s="102"/>
      <c r="L15" s="102"/>
      <c r="M15" s="102"/>
    </row>
    <row r="16" spans="1:13" ht="15.75" x14ac:dyDescent="0.25">
      <c r="A16" s="102">
        <v>13</v>
      </c>
      <c r="B16" s="111">
        <v>2</v>
      </c>
      <c r="C16" s="124">
        <v>40123</v>
      </c>
      <c r="D16" s="125" t="s">
        <v>363</v>
      </c>
      <c r="E16" s="125" t="s">
        <v>644</v>
      </c>
      <c r="F16" s="165" t="s">
        <v>645</v>
      </c>
      <c r="G16" s="114" t="s">
        <v>646</v>
      </c>
      <c r="H16" s="125">
        <v>56</v>
      </c>
      <c r="I16" s="164">
        <v>1.6</v>
      </c>
      <c r="J16" s="125" t="s">
        <v>647</v>
      </c>
      <c r="K16" s="102"/>
      <c r="L16" s="102"/>
      <c r="M16" s="102"/>
    </row>
    <row r="17" spans="1:13" ht="15.75" x14ac:dyDescent="0.25">
      <c r="A17" s="102"/>
      <c r="B17" s="102"/>
      <c r="C17" s="102"/>
      <c r="D17" s="102"/>
      <c r="E17" s="102"/>
      <c r="F17" s="102"/>
      <c r="G17" s="111"/>
      <c r="H17" s="102"/>
      <c r="I17" s="102"/>
      <c r="J17" s="102"/>
      <c r="K17" s="102"/>
      <c r="L17" s="102"/>
      <c r="M17" s="102"/>
    </row>
    <row r="18" spans="1:13" ht="15.75" x14ac:dyDescent="0.25">
      <c r="A18" s="102"/>
      <c r="B18" s="102"/>
      <c r="C18" s="102"/>
      <c r="D18" s="102"/>
      <c r="E18" s="102"/>
      <c r="F18" s="102"/>
      <c r="G18" s="111"/>
      <c r="H18" s="102"/>
      <c r="I18" s="102"/>
      <c r="J18" s="102"/>
      <c r="K18" s="102"/>
      <c r="L18" s="102"/>
      <c r="M18" s="10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2E6BA6-131F-4F33-BEAC-13B6967A7902}">
  <dimension ref="A1:N33"/>
  <sheetViews>
    <sheetView workbookViewId="0">
      <selection activeCell="N12" sqref="N12"/>
    </sheetView>
  </sheetViews>
  <sheetFormatPr defaultRowHeight="15" x14ac:dyDescent="0.25"/>
  <cols>
    <col min="1" max="2" width="9.28515625" bestFit="1" customWidth="1"/>
    <col min="3" max="3" width="11.28515625" bestFit="1" customWidth="1"/>
    <col min="5" max="5" width="20.140625" bestFit="1" customWidth="1"/>
    <col min="6" max="6" width="11.28515625" bestFit="1" customWidth="1"/>
    <col min="7" max="7" width="9.140625" bestFit="1" customWidth="1"/>
    <col min="8" max="8" width="19.85546875" customWidth="1"/>
    <col min="9" max="9" width="10.5703125" bestFit="1" customWidth="1"/>
    <col min="10" max="10" width="19.5703125" bestFit="1" customWidth="1"/>
    <col min="11" max="11" width="17.7109375" bestFit="1" customWidth="1"/>
  </cols>
  <sheetData>
    <row r="1" spans="1:12" ht="15.75" x14ac:dyDescent="0.25">
      <c r="A1" s="48" t="s">
        <v>1079</v>
      </c>
      <c r="B1" s="48"/>
      <c r="C1" s="44"/>
      <c r="D1" s="44"/>
      <c r="E1" s="44"/>
      <c r="F1" s="44"/>
      <c r="G1" s="44"/>
      <c r="H1" s="44"/>
    </row>
    <row r="2" spans="1:12" ht="15.75" x14ac:dyDescent="0.25">
      <c r="A2" s="49" t="s">
        <v>1</v>
      </c>
      <c r="B2" s="49"/>
      <c r="C2" s="44"/>
      <c r="D2" s="44"/>
      <c r="E2" s="44" t="s">
        <v>2</v>
      </c>
      <c r="F2" s="44"/>
      <c r="G2" s="44"/>
      <c r="H2" s="44" t="s">
        <v>3</v>
      </c>
    </row>
    <row r="3" spans="1:12" ht="15.75" x14ac:dyDescent="0.25">
      <c r="A3" s="99" t="s">
        <v>4</v>
      </c>
      <c r="B3" s="99" t="s">
        <v>601</v>
      </c>
      <c r="C3" s="99" t="s">
        <v>5</v>
      </c>
      <c r="D3" s="158" t="s">
        <v>7</v>
      </c>
      <c r="E3" s="158" t="s">
        <v>6</v>
      </c>
      <c r="F3" s="159" t="s">
        <v>602</v>
      </c>
      <c r="G3" s="160" t="s">
        <v>604</v>
      </c>
      <c r="H3" s="159" t="s">
        <v>605</v>
      </c>
      <c r="I3" s="161" t="s">
        <v>606</v>
      </c>
      <c r="J3" s="99" t="s">
        <v>648</v>
      </c>
      <c r="K3" s="162"/>
      <c r="L3" s="162"/>
    </row>
    <row r="4" spans="1:12" ht="15.75" x14ac:dyDescent="0.25">
      <c r="A4" s="92">
        <v>1</v>
      </c>
      <c r="B4" s="92">
        <v>1</v>
      </c>
      <c r="C4" s="90">
        <v>40448</v>
      </c>
      <c r="D4" s="91" t="s">
        <v>366</v>
      </c>
      <c r="E4" s="91" t="s">
        <v>649</v>
      </c>
      <c r="F4" s="91" t="s">
        <v>650</v>
      </c>
      <c r="G4" s="163">
        <v>1.7</v>
      </c>
      <c r="H4" s="91" t="s">
        <v>651</v>
      </c>
      <c r="I4" s="163">
        <v>2.4</v>
      </c>
      <c r="J4" s="92"/>
      <c r="K4" s="162"/>
      <c r="L4" s="162"/>
    </row>
    <row r="5" spans="1:12" ht="15.75" x14ac:dyDescent="0.25">
      <c r="A5" s="92">
        <v>2</v>
      </c>
      <c r="B5" s="92">
        <v>1</v>
      </c>
      <c r="C5" s="90">
        <v>40449</v>
      </c>
      <c r="D5" s="91" t="s">
        <v>367</v>
      </c>
      <c r="E5" s="91" t="s">
        <v>652</v>
      </c>
      <c r="F5" s="91" t="s">
        <v>653</v>
      </c>
      <c r="G5" s="163">
        <v>2.4</v>
      </c>
      <c r="H5" s="91" t="s">
        <v>654</v>
      </c>
      <c r="I5" s="163">
        <v>2.4</v>
      </c>
      <c r="J5" s="92"/>
      <c r="K5" s="162"/>
      <c r="L5" s="162"/>
    </row>
    <row r="6" spans="1:12" ht="15.75" x14ac:dyDescent="0.25">
      <c r="A6" s="92">
        <v>3</v>
      </c>
      <c r="B6" s="92">
        <v>1</v>
      </c>
      <c r="C6" s="90">
        <v>40450</v>
      </c>
      <c r="D6" s="91" t="s">
        <v>365</v>
      </c>
      <c r="E6" s="91" t="s">
        <v>655</v>
      </c>
      <c r="F6" s="91" t="s">
        <v>656</v>
      </c>
      <c r="G6" s="163">
        <v>2</v>
      </c>
      <c r="H6" s="91" t="s">
        <v>657</v>
      </c>
      <c r="I6" s="163">
        <v>3.9</v>
      </c>
      <c r="J6" s="92"/>
      <c r="K6" s="162"/>
      <c r="L6" s="162"/>
    </row>
    <row r="7" spans="1:12" ht="15.75" x14ac:dyDescent="0.25">
      <c r="A7" s="92">
        <v>4</v>
      </c>
      <c r="B7" s="92">
        <v>1</v>
      </c>
      <c r="C7" s="90">
        <v>40451</v>
      </c>
      <c r="D7" s="91" t="s">
        <v>360</v>
      </c>
      <c r="E7" s="91" t="s">
        <v>658</v>
      </c>
      <c r="F7" s="91" t="s">
        <v>659</v>
      </c>
      <c r="G7" s="163">
        <v>3.4</v>
      </c>
      <c r="H7" s="91" t="s">
        <v>660</v>
      </c>
      <c r="I7" s="163">
        <v>1.8</v>
      </c>
      <c r="J7" s="92"/>
      <c r="K7" s="162"/>
      <c r="L7" s="162"/>
    </row>
    <row r="8" spans="1:12" ht="15.75" x14ac:dyDescent="0.25">
      <c r="A8" s="92">
        <v>5</v>
      </c>
      <c r="B8" s="92">
        <v>1</v>
      </c>
      <c r="C8" s="90">
        <v>40451</v>
      </c>
      <c r="D8" s="91" t="s">
        <v>361</v>
      </c>
      <c r="E8" s="91" t="s">
        <v>661</v>
      </c>
      <c r="F8" s="91" t="s">
        <v>662</v>
      </c>
      <c r="G8" s="163">
        <v>1.7</v>
      </c>
      <c r="H8" s="91" t="s">
        <v>663</v>
      </c>
      <c r="I8" s="163">
        <v>1.9</v>
      </c>
      <c r="J8" s="92"/>
      <c r="K8" s="162"/>
      <c r="L8" s="162"/>
    </row>
    <row r="9" spans="1:12" ht="15.75" x14ac:dyDescent="0.25">
      <c r="A9" s="92">
        <v>6</v>
      </c>
      <c r="B9" s="92">
        <v>1</v>
      </c>
      <c r="C9" s="90">
        <v>40452</v>
      </c>
      <c r="D9" s="91" t="s">
        <v>363</v>
      </c>
      <c r="E9" s="91" t="s">
        <v>664</v>
      </c>
      <c r="F9" s="91" t="s">
        <v>665</v>
      </c>
      <c r="G9" s="163">
        <v>2.1</v>
      </c>
      <c r="H9" s="91" t="s">
        <v>666</v>
      </c>
      <c r="I9" s="163">
        <v>2.8</v>
      </c>
      <c r="J9" s="92"/>
      <c r="K9" s="162"/>
      <c r="L9" s="162"/>
    </row>
    <row r="10" spans="1:12" ht="15.75" x14ac:dyDescent="0.25">
      <c r="A10" s="92">
        <v>7</v>
      </c>
      <c r="B10" s="92">
        <v>2</v>
      </c>
      <c r="C10" s="90">
        <v>40463</v>
      </c>
      <c r="D10" s="91" t="s">
        <v>366</v>
      </c>
      <c r="E10" s="91" t="s">
        <v>667</v>
      </c>
      <c r="F10" s="91" t="s">
        <v>668</v>
      </c>
      <c r="G10" s="163">
        <v>1.7</v>
      </c>
      <c r="H10" s="91" t="s">
        <v>669</v>
      </c>
      <c r="I10" s="163">
        <v>2.6</v>
      </c>
      <c r="J10" s="92"/>
      <c r="K10" s="162"/>
      <c r="L10" s="162"/>
    </row>
    <row r="11" spans="1:12" ht="15.75" x14ac:dyDescent="0.25">
      <c r="A11" s="92">
        <v>8</v>
      </c>
      <c r="B11" s="92">
        <v>2</v>
      </c>
      <c r="C11" s="90">
        <v>40463</v>
      </c>
      <c r="D11" s="91" t="s">
        <v>367</v>
      </c>
      <c r="E11" s="91" t="s">
        <v>670</v>
      </c>
      <c r="F11" s="91" t="s">
        <v>671</v>
      </c>
      <c r="G11" s="163">
        <v>2.5</v>
      </c>
      <c r="H11" s="91" t="s">
        <v>672</v>
      </c>
      <c r="I11" s="163">
        <v>2.2000000000000002</v>
      </c>
      <c r="J11" s="92" t="s">
        <v>673</v>
      </c>
      <c r="K11" s="162"/>
      <c r="L11" s="162"/>
    </row>
    <row r="12" spans="1:12" ht="15.75" x14ac:dyDescent="0.25">
      <c r="A12" s="92">
        <v>9</v>
      </c>
      <c r="B12" s="92">
        <v>2</v>
      </c>
      <c r="C12" s="90">
        <v>40464</v>
      </c>
      <c r="D12" s="91" t="s">
        <v>367</v>
      </c>
      <c r="E12" s="91" t="s">
        <v>674</v>
      </c>
      <c r="F12" s="91" t="s">
        <v>675</v>
      </c>
      <c r="G12" s="163">
        <v>2.2000000000000002</v>
      </c>
      <c r="H12" s="91" t="s">
        <v>676</v>
      </c>
      <c r="I12" s="163">
        <v>2.9</v>
      </c>
      <c r="J12" s="92" t="s">
        <v>677</v>
      </c>
      <c r="K12" s="162"/>
      <c r="L12" s="162"/>
    </row>
    <row r="13" spans="1:12" ht="15.75" x14ac:dyDescent="0.25">
      <c r="A13" s="92">
        <v>10</v>
      </c>
      <c r="B13" s="92">
        <v>2</v>
      </c>
      <c r="C13" s="90">
        <v>40464</v>
      </c>
      <c r="D13" s="91" t="s">
        <v>365</v>
      </c>
      <c r="E13" s="91" t="s">
        <v>678</v>
      </c>
      <c r="F13" s="91" t="s">
        <v>679</v>
      </c>
      <c r="G13" s="163">
        <v>2.2999999999999998</v>
      </c>
      <c r="H13" s="91" t="s">
        <v>680</v>
      </c>
      <c r="I13" s="163">
        <v>4</v>
      </c>
      <c r="J13" s="92"/>
      <c r="K13" s="162"/>
      <c r="L13" s="162"/>
    </row>
    <row r="14" spans="1:12" ht="15.75" x14ac:dyDescent="0.25">
      <c r="A14" s="92">
        <v>11</v>
      </c>
      <c r="B14" s="92">
        <v>2</v>
      </c>
      <c r="C14" s="90">
        <v>40465</v>
      </c>
      <c r="D14" s="91" t="s">
        <v>360</v>
      </c>
      <c r="E14" s="91" t="s">
        <v>681</v>
      </c>
      <c r="F14" s="91" t="s">
        <v>682</v>
      </c>
      <c r="G14" s="163">
        <v>1.9</v>
      </c>
      <c r="H14" s="91" t="s">
        <v>683</v>
      </c>
      <c r="I14" s="163">
        <v>2.2000000000000002</v>
      </c>
      <c r="J14" s="92"/>
      <c r="K14" s="162"/>
      <c r="L14" s="162"/>
    </row>
    <row r="15" spans="1:12" ht="15.75" x14ac:dyDescent="0.25">
      <c r="A15" s="92">
        <v>12</v>
      </c>
      <c r="B15" s="92">
        <v>2</v>
      </c>
      <c r="C15" s="90">
        <v>40465</v>
      </c>
      <c r="D15" s="91" t="s">
        <v>361</v>
      </c>
      <c r="E15" s="91" t="s">
        <v>684</v>
      </c>
      <c r="F15" s="91" t="s">
        <v>685</v>
      </c>
      <c r="G15" s="163">
        <v>2.4</v>
      </c>
      <c r="H15" s="91" t="s">
        <v>686</v>
      </c>
      <c r="I15" s="163">
        <v>2.7</v>
      </c>
      <c r="J15" s="92"/>
      <c r="K15" s="162"/>
      <c r="L15" s="162"/>
    </row>
    <row r="16" spans="1:12" ht="15.75" x14ac:dyDescent="0.25">
      <c r="A16" s="92">
        <v>13</v>
      </c>
      <c r="B16" s="92">
        <v>2</v>
      </c>
      <c r="C16" s="90">
        <v>40465</v>
      </c>
      <c r="D16" s="91" t="s">
        <v>363</v>
      </c>
      <c r="E16" s="91" t="s">
        <v>687</v>
      </c>
      <c r="F16" s="91" t="s">
        <v>688</v>
      </c>
      <c r="G16" s="163">
        <v>2</v>
      </c>
      <c r="H16" s="91" t="s">
        <v>689</v>
      </c>
      <c r="I16" s="163">
        <v>2.6</v>
      </c>
      <c r="J16" s="92"/>
      <c r="K16" s="162"/>
      <c r="L16" s="162"/>
    </row>
    <row r="17" spans="1:14" ht="15.75" x14ac:dyDescent="0.25">
      <c r="A17" s="92">
        <v>14</v>
      </c>
      <c r="B17" s="92">
        <v>3</v>
      </c>
      <c r="C17" s="90">
        <v>40477</v>
      </c>
      <c r="D17" s="91" t="s">
        <v>366</v>
      </c>
      <c r="E17" s="91" t="s">
        <v>690</v>
      </c>
      <c r="F17" s="91" t="s">
        <v>691</v>
      </c>
      <c r="G17" s="163">
        <v>3.2</v>
      </c>
      <c r="H17" s="91" t="s">
        <v>692</v>
      </c>
      <c r="I17" s="163">
        <v>3.7</v>
      </c>
      <c r="J17" s="92"/>
      <c r="K17" s="162"/>
      <c r="L17" s="162"/>
    </row>
    <row r="18" spans="1:14" ht="15.75" x14ac:dyDescent="0.25">
      <c r="A18" s="92">
        <v>15</v>
      </c>
      <c r="B18" s="92">
        <v>3</v>
      </c>
      <c r="C18" s="90">
        <v>40477</v>
      </c>
      <c r="D18" s="91" t="s">
        <v>367</v>
      </c>
      <c r="E18" s="91" t="s">
        <v>693</v>
      </c>
      <c r="F18" s="91" t="s">
        <v>694</v>
      </c>
      <c r="G18" s="163">
        <v>3</v>
      </c>
      <c r="H18" s="91" t="s">
        <v>695</v>
      </c>
      <c r="I18" s="163">
        <v>4.4000000000000004</v>
      </c>
      <c r="J18" s="92"/>
      <c r="K18" s="162"/>
      <c r="L18" s="162"/>
    </row>
    <row r="19" spans="1:14" ht="15.75" x14ac:dyDescent="0.25">
      <c r="A19" s="92">
        <v>16</v>
      </c>
      <c r="B19" s="92">
        <v>3</v>
      </c>
      <c r="C19" s="90">
        <v>40484</v>
      </c>
      <c r="D19" s="91" t="s">
        <v>365</v>
      </c>
      <c r="E19" s="91" t="s">
        <v>696</v>
      </c>
      <c r="F19" s="91" t="s">
        <v>697</v>
      </c>
      <c r="G19" s="163">
        <v>2.5</v>
      </c>
      <c r="H19" s="91" t="s">
        <v>698</v>
      </c>
      <c r="I19" s="163">
        <v>2.5</v>
      </c>
      <c r="J19" s="92"/>
      <c r="K19" s="162"/>
      <c r="L19" s="162"/>
    </row>
    <row r="20" spans="1:14" ht="15.75" x14ac:dyDescent="0.25">
      <c r="A20" s="92">
        <v>17</v>
      </c>
      <c r="B20" s="92">
        <v>3</v>
      </c>
      <c r="C20" s="90">
        <v>40478</v>
      </c>
      <c r="D20" s="91" t="s">
        <v>360</v>
      </c>
      <c r="E20" s="91" t="s">
        <v>699</v>
      </c>
      <c r="F20" s="91" t="s">
        <v>700</v>
      </c>
      <c r="G20" s="163">
        <v>2.6</v>
      </c>
      <c r="H20" s="91" t="s">
        <v>701</v>
      </c>
      <c r="I20" s="163">
        <v>2.9</v>
      </c>
      <c r="J20" s="92"/>
      <c r="K20" s="162"/>
      <c r="L20" s="162"/>
    </row>
    <row r="21" spans="1:14" ht="15.75" x14ac:dyDescent="0.25">
      <c r="A21" s="92">
        <v>18</v>
      </c>
      <c r="B21" s="92">
        <v>3</v>
      </c>
      <c r="C21" s="90">
        <v>40486</v>
      </c>
      <c r="D21" s="91" t="s">
        <v>361</v>
      </c>
      <c r="E21" s="91" t="s">
        <v>702</v>
      </c>
      <c r="F21" s="91" t="s">
        <v>703</v>
      </c>
      <c r="G21" s="163">
        <v>1.5</v>
      </c>
      <c r="H21" s="91" t="s">
        <v>704</v>
      </c>
      <c r="I21" s="163">
        <v>1.4</v>
      </c>
      <c r="J21" s="92"/>
      <c r="K21" s="162"/>
      <c r="L21" s="162"/>
    </row>
    <row r="22" spans="1:14" ht="15.75" x14ac:dyDescent="0.25">
      <c r="A22" s="92">
        <v>19</v>
      </c>
      <c r="B22" s="92">
        <v>3</v>
      </c>
      <c r="C22" s="90">
        <v>40478</v>
      </c>
      <c r="D22" s="91" t="s">
        <v>363</v>
      </c>
      <c r="E22" s="91" t="s">
        <v>705</v>
      </c>
      <c r="F22" s="91" t="s">
        <v>706</v>
      </c>
      <c r="G22" s="163">
        <v>2.5</v>
      </c>
      <c r="H22" s="91" t="s">
        <v>707</v>
      </c>
      <c r="I22" s="163">
        <v>2.4</v>
      </c>
      <c r="J22" s="92"/>
      <c r="K22" s="162"/>
      <c r="L22" s="162"/>
    </row>
    <row r="23" spans="1:14" ht="15.75" x14ac:dyDescent="0.25">
      <c r="A23" s="89"/>
      <c r="B23" s="89"/>
      <c r="C23" s="89"/>
      <c r="D23" s="89"/>
      <c r="E23" s="89"/>
      <c r="F23" s="89"/>
      <c r="G23" s="89"/>
      <c r="H23" s="89"/>
      <c r="I23" s="89"/>
      <c r="J23" s="89"/>
      <c r="K23" s="89"/>
      <c r="L23" s="149"/>
      <c r="M23" s="62"/>
      <c r="N23" s="62"/>
    </row>
    <row r="24" spans="1:14" ht="15.75" x14ac:dyDescent="0.25">
      <c r="A24" s="149"/>
      <c r="B24" s="149"/>
      <c r="C24" s="89"/>
      <c r="D24" s="89"/>
      <c r="E24" s="89"/>
      <c r="F24" s="89"/>
      <c r="G24" s="89"/>
      <c r="H24" s="89"/>
      <c r="I24" s="89"/>
      <c r="J24" s="89"/>
      <c r="K24" s="89"/>
      <c r="L24" s="149"/>
      <c r="M24" s="62"/>
      <c r="N24" s="62"/>
    </row>
    <row r="25" spans="1:14" ht="15.75" x14ac:dyDescent="0.25">
      <c r="A25" s="149"/>
      <c r="B25" s="149"/>
      <c r="C25" s="89"/>
      <c r="D25" s="89"/>
      <c r="E25" s="89"/>
      <c r="F25" s="89"/>
      <c r="G25" s="89"/>
      <c r="H25" s="89"/>
      <c r="I25" s="89"/>
      <c r="J25" s="89"/>
      <c r="K25" s="89"/>
      <c r="L25" s="149"/>
      <c r="M25" s="62"/>
      <c r="N25" s="62"/>
    </row>
    <row r="26" spans="1:14" ht="15.75" x14ac:dyDescent="0.25">
      <c r="A26" s="149"/>
      <c r="B26" s="149"/>
      <c r="C26" s="149"/>
      <c r="D26" s="149"/>
      <c r="E26" s="149"/>
      <c r="F26" s="149"/>
      <c r="G26" s="149"/>
      <c r="H26" s="149"/>
      <c r="I26" s="149"/>
      <c r="J26" s="149"/>
      <c r="K26" s="149"/>
      <c r="L26" s="149"/>
      <c r="M26" s="62"/>
      <c r="N26" s="62"/>
    </row>
    <row r="27" spans="1:14" ht="15.75" x14ac:dyDescent="0.25">
      <c r="A27" s="149"/>
      <c r="B27" s="149"/>
      <c r="C27" s="149"/>
      <c r="D27" s="149"/>
      <c r="E27" s="149"/>
      <c r="F27" s="149"/>
      <c r="G27" s="149"/>
      <c r="H27" s="149"/>
      <c r="I27" s="149"/>
      <c r="J27" s="149"/>
      <c r="K27" s="149"/>
      <c r="L27" s="149"/>
      <c r="M27" s="62"/>
      <c r="N27" s="62"/>
    </row>
    <row r="28" spans="1:14" ht="15.75" x14ac:dyDescent="0.25">
      <c r="A28" s="162"/>
      <c r="B28" s="162"/>
      <c r="C28" s="162"/>
      <c r="D28" s="162"/>
      <c r="E28" s="162"/>
      <c r="F28" s="162"/>
      <c r="G28" s="162"/>
      <c r="H28" s="162"/>
      <c r="I28" s="162"/>
      <c r="J28" s="162"/>
      <c r="K28" s="162"/>
      <c r="L28" s="162"/>
    </row>
    <row r="29" spans="1:14" ht="15.75" x14ac:dyDescent="0.25">
      <c r="A29" s="162"/>
      <c r="B29" s="162"/>
      <c r="C29" s="162"/>
      <c r="D29" s="162"/>
      <c r="E29" s="162"/>
      <c r="F29" s="162"/>
      <c r="G29" s="162"/>
      <c r="H29" s="162"/>
      <c r="I29" s="162"/>
      <c r="J29" s="162"/>
      <c r="K29" s="162"/>
      <c r="L29" s="162"/>
    </row>
    <row r="30" spans="1:14" ht="15.75" x14ac:dyDescent="0.25">
      <c r="A30" s="162"/>
      <c r="B30" s="162"/>
      <c r="C30" s="162"/>
      <c r="D30" s="162"/>
      <c r="E30" s="162"/>
      <c r="F30" s="162"/>
      <c r="G30" s="162"/>
      <c r="H30" s="162"/>
      <c r="I30" s="162"/>
      <c r="J30" s="162"/>
      <c r="K30" s="162"/>
      <c r="L30" s="162"/>
    </row>
    <row r="31" spans="1:14" ht="15.75" x14ac:dyDescent="0.25">
      <c r="A31" s="162"/>
      <c r="B31" s="162"/>
      <c r="C31" s="162"/>
      <c r="D31" s="162"/>
      <c r="E31" s="162"/>
      <c r="F31" s="162"/>
      <c r="G31" s="162"/>
      <c r="H31" s="162"/>
      <c r="I31" s="162"/>
      <c r="J31" s="162"/>
      <c r="K31" s="162"/>
      <c r="L31" s="162"/>
    </row>
    <row r="32" spans="1:14" ht="15.75" x14ac:dyDescent="0.25">
      <c r="A32" s="162"/>
      <c r="B32" s="162"/>
      <c r="C32" s="162"/>
      <c r="D32" s="162"/>
      <c r="E32" s="162"/>
      <c r="F32" s="162"/>
      <c r="G32" s="162"/>
      <c r="H32" s="162"/>
      <c r="I32" s="162"/>
      <c r="J32" s="162"/>
      <c r="K32" s="162"/>
      <c r="L32" s="162"/>
    </row>
    <row r="33" spans="1:12" ht="15.75" x14ac:dyDescent="0.25">
      <c r="A33" s="162"/>
      <c r="B33" s="162"/>
      <c r="C33" s="162"/>
      <c r="D33" s="162"/>
      <c r="E33" s="162"/>
      <c r="F33" s="162"/>
      <c r="G33" s="162"/>
      <c r="H33" s="162"/>
      <c r="I33" s="162"/>
      <c r="J33" s="162"/>
      <c r="K33" s="162"/>
      <c r="L33" s="16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39A18-CC26-4B6F-A162-D8D20F61408E}">
  <dimension ref="A1:L24"/>
  <sheetViews>
    <sheetView workbookViewId="0">
      <selection activeCell="D9" sqref="D9"/>
    </sheetView>
  </sheetViews>
  <sheetFormatPr defaultRowHeight="15" x14ac:dyDescent="0.25"/>
  <cols>
    <col min="3" max="3" width="11.28515625" bestFit="1" customWidth="1"/>
    <col min="5" max="5" width="20.140625" bestFit="1" customWidth="1"/>
    <col min="6" max="6" width="13.140625" bestFit="1" customWidth="1"/>
    <col min="7" max="7" width="15.140625" bestFit="1" customWidth="1"/>
    <col min="8" max="8" width="21.85546875" bestFit="1" customWidth="1"/>
    <col min="9" max="9" width="12.42578125" bestFit="1" customWidth="1"/>
    <col min="10" max="10" width="19.7109375" bestFit="1" customWidth="1"/>
    <col min="11" max="11" width="59.7109375" bestFit="1" customWidth="1"/>
    <col min="12" max="12" width="59.42578125" bestFit="1" customWidth="1"/>
  </cols>
  <sheetData>
    <row r="1" spans="1:11" ht="15.75" x14ac:dyDescent="0.25">
      <c r="A1" s="48" t="s">
        <v>1080</v>
      </c>
      <c r="B1" s="48"/>
      <c r="C1" s="44"/>
      <c r="D1" s="44"/>
      <c r="E1" s="44"/>
      <c r="F1" s="44"/>
      <c r="G1" s="44"/>
      <c r="H1" s="44"/>
    </row>
    <row r="2" spans="1:11" ht="15.75" x14ac:dyDescent="0.25">
      <c r="A2" s="49" t="s">
        <v>1</v>
      </c>
      <c r="B2" s="49"/>
      <c r="C2" s="44"/>
      <c r="D2" s="44"/>
      <c r="E2" s="44" t="s">
        <v>2</v>
      </c>
      <c r="F2" s="44"/>
      <c r="G2" s="44"/>
      <c r="H2" s="44" t="s">
        <v>3</v>
      </c>
    </row>
    <row r="3" spans="1:11" ht="15.75" x14ac:dyDescent="0.25">
      <c r="A3" s="126" t="s">
        <v>4</v>
      </c>
      <c r="B3" s="126" t="s">
        <v>601</v>
      </c>
      <c r="C3" s="126" t="s">
        <v>350</v>
      </c>
      <c r="D3" s="126" t="s">
        <v>351</v>
      </c>
      <c r="E3" s="126" t="s">
        <v>352</v>
      </c>
      <c r="F3" s="126" t="s">
        <v>708</v>
      </c>
      <c r="G3" s="126" t="s">
        <v>768</v>
      </c>
      <c r="H3" s="126" t="s">
        <v>769</v>
      </c>
      <c r="I3" s="126" t="s">
        <v>605</v>
      </c>
      <c r="J3" s="126" t="s">
        <v>606</v>
      </c>
      <c r="K3" s="126" t="s">
        <v>709</v>
      </c>
    </row>
    <row r="4" spans="1:11" ht="15.75" x14ac:dyDescent="0.25">
      <c r="A4" s="54">
        <v>1</v>
      </c>
      <c r="B4" s="54">
        <v>1</v>
      </c>
      <c r="C4" s="55">
        <v>40812</v>
      </c>
      <c r="D4" s="54" t="s">
        <v>366</v>
      </c>
      <c r="E4" s="54" t="s">
        <v>710</v>
      </c>
      <c r="F4" s="54" t="s">
        <v>711</v>
      </c>
      <c r="G4" s="56">
        <v>0.3840277777777778</v>
      </c>
      <c r="H4" s="57">
        <v>1.7</v>
      </c>
      <c r="I4" s="56">
        <v>0.60138888888888886</v>
      </c>
      <c r="J4" s="57">
        <v>2.2000000000000002</v>
      </c>
      <c r="K4" s="58"/>
    </row>
    <row r="5" spans="1:11" ht="15.75" x14ac:dyDescent="0.25">
      <c r="A5" s="59">
        <v>2</v>
      </c>
      <c r="B5" s="59">
        <v>1</v>
      </c>
      <c r="C5" s="55">
        <v>40813</v>
      </c>
      <c r="D5" s="54" t="s">
        <v>367</v>
      </c>
      <c r="E5" s="54" t="s">
        <v>712</v>
      </c>
      <c r="F5" s="54" t="s">
        <v>711</v>
      </c>
      <c r="G5" s="56">
        <v>0.38611111111111113</v>
      </c>
      <c r="H5" s="57">
        <v>1.5</v>
      </c>
      <c r="I5" s="56">
        <v>0.60625000000000007</v>
      </c>
      <c r="J5" s="57">
        <v>1.9</v>
      </c>
      <c r="K5" s="59"/>
    </row>
    <row r="6" spans="1:11" ht="15.75" x14ac:dyDescent="0.25">
      <c r="A6" s="54">
        <v>3</v>
      </c>
      <c r="B6" s="54">
        <v>1</v>
      </c>
      <c r="C6" s="55">
        <v>40814</v>
      </c>
      <c r="D6" s="54" t="s">
        <v>365</v>
      </c>
      <c r="E6" s="54" t="s">
        <v>713</v>
      </c>
      <c r="F6" s="54" t="s">
        <v>711</v>
      </c>
      <c r="G6" s="56">
        <v>0.4513888888888889</v>
      </c>
      <c r="H6" s="57">
        <v>2.8</v>
      </c>
      <c r="I6" s="56">
        <v>0.61805555555555558</v>
      </c>
      <c r="J6" s="57">
        <v>2</v>
      </c>
      <c r="K6" s="60"/>
    </row>
    <row r="7" spans="1:11" ht="15.75" x14ac:dyDescent="0.25">
      <c r="A7" s="59">
        <v>4</v>
      </c>
      <c r="B7" s="59">
        <v>1</v>
      </c>
      <c r="C7" s="55">
        <v>40815</v>
      </c>
      <c r="D7" s="54" t="s">
        <v>360</v>
      </c>
      <c r="E7" s="54" t="s">
        <v>714</v>
      </c>
      <c r="F7" s="54" t="s">
        <v>711</v>
      </c>
      <c r="G7" s="56">
        <v>0.37291666666666662</v>
      </c>
      <c r="H7" s="57">
        <v>2.7</v>
      </c>
      <c r="I7" s="56">
        <v>0.5541666666666667</v>
      </c>
      <c r="J7" s="57">
        <v>2.4</v>
      </c>
      <c r="K7" s="60"/>
    </row>
    <row r="8" spans="1:11" ht="15.75" x14ac:dyDescent="0.25">
      <c r="A8" s="54">
        <v>5</v>
      </c>
      <c r="B8" s="54">
        <v>1</v>
      </c>
      <c r="C8" s="55">
        <v>40815</v>
      </c>
      <c r="D8" s="54" t="s">
        <v>361</v>
      </c>
      <c r="E8" s="54" t="s">
        <v>715</v>
      </c>
      <c r="F8" s="54" t="s">
        <v>711</v>
      </c>
      <c r="G8" s="56">
        <v>0.38055555555555554</v>
      </c>
      <c r="H8" s="57">
        <v>2.1</v>
      </c>
      <c r="I8" s="56">
        <v>0.5131944444444444</v>
      </c>
      <c r="J8" s="57">
        <v>2.4</v>
      </c>
      <c r="K8" s="60"/>
    </row>
    <row r="9" spans="1:11" ht="15.75" x14ac:dyDescent="0.25">
      <c r="A9" s="59">
        <v>6</v>
      </c>
      <c r="B9" s="59">
        <v>1</v>
      </c>
      <c r="C9" s="55">
        <v>40816</v>
      </c>
      <c r="D9" s="54" t="s">
        <v>363</v>
      </c>
      <c r="E9" s="54" t="s">
        <v>716</v>
      </c>
      <c r="F9" s="54" t="s">
        <v>711</v>
      </c>
      <c r="G9" s="56">
        <v>0.37708333333333338</v>
      </c>
      <c r="H9" s="57">
        <v>3.2</v>
      </c>
      <c r="I9" s="56">
        <v>0.53055555555555556</v>
      </c>
      <c r="J9" s="57">
        <v>2.2000000000000002</v>
      </c>
      <c r="K9" s="60"/>
    </row>
    <row r="10" spans="1:11" ht="15.75" x14ac:dyDescent="0.25">
      <c r="A10" s="59">
        <v>7</v>
      </c>
      <c r="B10" s="59">
        <v>2</v>
      </c>
      <c r="C10" s="55">
        <v>40828</v>
      </c>
      <c r="D10" s="54" t="s">
        <v>366</v>
      </c>
      <c r="E10" s="54" t="s">
        <v>717</v>
      </c>
      <c r="F10" s="54" t="s">
        <v>711</v>
      </c>
      <c r="G10" s="56">
        <v>0.38680555555555557</v>
      </c>
      <c r="H10" s="57">
        <v>1.9</v>
      </c>
      <c r="I10" s="56">
        <v>0.62361111111111112</v>
      </c>
      <c r="J10" s="57"/>
      <c r="K10" s="60"/>
    </row>
    <row r="11" spans="1:11" ht="15.75" x14ac:dyDescent="0.25">
      <c r="A11" s="59">
        <v>8</v>
      </c>
      <c r="B11" s="59">
        <v>2</v>
      </c>
      <c r="C11" s="55">
        <v>40828</v>
      </c>
      <c r="D11" s="54" t="s">
        <v>443</v>
      </c>
      <c r="E11" s="54" t="s">
        <v>718</v>
      </c>
      <c r="F11" s="54" t="s">
        <v>711</v>
      </c>
      <c r="G11" s="56">
        <v>0.42986111111111108</v>
      </c>
      <c r="H11" s="57"/>
      <c r="I11" s="56">
        <v>0.60277777777777775</v>
      </c>
      <c r="J11" s="57"/>
      <c r="K11" s="61" t="s">
        <v>719</v>
      </c>
    </row>
    <row r="12" spans="1:11" ht="15.75" x14ac:dyDescent="0.25">
      <c r="A12" s="54">
        <v>9</v>
      </c>
      <c r="B12" s="54">
        <v>2</v>
      </c>
      <c r="C12" s="55">
        <v>40830</v>
      </c>
      <c r="D12" s="54" t="s">
        <v>445</v>
      </c>
      <c r="E12" s="54" t="s">
        <v>720</v>
      </c>
      <c r="F12" s="54" t="s">
        <v>711</v>
      </c>
      <c r="G12" s="56">
        <v>0.36388888888888887</v>
      </c>
      <c r="H12" s="57"/>
      <c r="I12" s="56">
        <v>0.4291666666666667</v>
      </c>
      <c r="J12" s="57"/>
      <c r="K12" s="60"/>
    </row>
    <row r="13" spans="1:11" ht="15.75" x14ac:dyDescent="0.25">
      <c r="A13" s="59">
        <v>10</v>
      </c>
      <c r="B13" s="59">
        <v>2</v>
      </c>
      <c r="C13" s="55">
        <v>40827</v>
      </c>
      <c r="D13" s="54" t="s">
        <v>365</v>
      </c>
      <c r="E13" s="54" t="s">
        <v>721</v>
      </c>
      <c r="F13" s="54" t="s">
        <v>722</v>
      </c>
      <c r="G13" s="56">
        <v>0.39305555555555555</v>
      </c>
      <c r="H13" s="57">
        <v>3.7</v>
      </c>
      <c r="I13" s="56">
        <v>0.51736111111111105</v>
      </c>
      <c r="J13" s="57">
        <v>3.7</v>
      </c>
      <c r="K13" s="59"/>
    </row>
    <row r="14" spans="1:11" ht="15.75" x14ac:dyDescent="0.25">
      <c r="A14" s="59">
        <v>11</v>
      </c>
      <c r="B14" s="59">
        <v>2</v>
      </c>
      <c r="C14" s="55">
        <v>40829</v>
      </c>
      <c r="D14" s="54" t="s">
        <v>360</v>
      </c>
      <c r="E14" s="54" t="s">
        <v>723</v>
      </c>
      <c r="F14" s="54" t="s">
        <v>711</v>
      </c>
      <c r="G14" s="56">
        <v>0.39999999999999997</v>
      </c>
      <c r="H14" s="57"/>
      <c r="I14" s="56">
        <v>0.66805555555555562</v>
      </c>
      <c r="J14" s="57"/>
      <c r="K14" s="60"/>
    </row>
    <row r="15" spans="1:11" ht="15.75" x14ac:dyDescent="0.25">
      <c r="A15" s="54">
        <v>12</v>
      </c>
      <c r="B15" s="54">
        <v>2</v>
      </c>
      <c r="C15" s="55">
        <v>40829</v>
      </c>
      <c r="D15" s="54" t="s">
        <v>361</v>
      </c>
      <c r="E15" s="54" t="s">
        <v>724</v>
      </c>
      <c r="F15" s="54" t="s">
        <v>711</v>
      </c>
      <c r="G15" s="56">
        <v>0.41875000000000001</v>
      </c>
      <c r="H15" s="57"/>
      <c r="I15" s="56">
        <v>0.62708333333333333</v>
      </c>
      <c r="J15" s="57"/>
      <c r="K15" s="58"/>
    </row>
    <row r="16" spans="1:11" ht="15.75" x14ac:dyDescent="0.25">
      <c r="A16" s="54">
        <v>13</v>
      </c>
      <c r="B16" s="54">
        <v>2</v>
      </c>
      <c r="C16" s="55">
        <v>40829</v>
      </c>
      <c r="D16" s="54" t="s">
        <v>363</v>
      </c>
      <c r="E16" s="54" t="s">
        <v>725</v>
      </c>
      <c r="F16" s="54" t="s">
        <v>711</v>
      </c>
      <c r="G16" s="56">
        <v>0.40763888888888888</v>
      </c>
      <c r="H16" s="57"/>
      <c r="I16" s="56">
        <v>0.52430555555555558</v>
      </c>
      <c r="J16" s="57"/>
      <c r="K16" s="58"/>
    </row>
    <row r="17" spans="1:12" ht="15.75" x14ac:dyDescent="0.25">
      <c r="A17" s="59">
        <v>14</v>
      </c>
      <c r="B17" s="59">
        <v>3</v>
      </c>
      <c r="C17" s="55">
        <v>40841</v>
      </c>
      <c r="D17" s="54" t="s">
        <v>366</v>
      </c>
      <c r="E17" s="54" t="s">
        <v>726</v>
      </c>
      <c r="F17" s="54" t="s">
        <v>711</v>
      </c>
      <c r="G17" s="56">
        <v>0.37638888888888888</v>
      </c>
      <c r="H17" s="57"/>
      <c r="I17" s="56">
        <v>0.5180555555555556</v>
      </c>
      <c r="J17" s="57">
        <v>3.5</v>
      </c>
      <c r="K17" s="60"/>
    </row>
    <row r="18" spans="1:12" ht="15.75" x14ac:dyDescent="0.25">
      <c r="A18" s="59">
        <v>15</v>
      </c>
      <c r="B18" s="59">
        <v>3</v>
      </c>
      <c r="C18" s="55">
        <v>40841</v>
      </c>
      <c r="D18" s="54" t="s">
        <v>367</v>
      </c>
      <c r="E18" s="54" t="s">
        <v>727</v>
      </c>
      <c r="F18" s="54" t="s">
        <v>711</v>
      </c>
      <c r="G18" s="56">
        <v>0.38750000000000001</v>
      </c>
      <c r="H18" s="57"/>
      <c r="I18" s="56">
        <v>0.12152777777777778</v>
      </c>
      <c r="J18" s="57"/>
      <c r="K18" s="59"/>
    </row>
    <row r="19" spans="1:12" ht="15.75" x14ac:dyDescent="0.25">
      <c r="A19" s="59">
        <v>16</v>
      </c>
      <c r="B19" s="59">
        <v>3</v>
      </c>
      <c r="C19" s="55">
        <v>40855</v>
      </c>
      <c r="D19" s="54" t="s">
        <v>365</v>
      </c>
      <c r="E19" s="54" t="s">
        <v>728</v>
      </c>
      <c r="F19" s="54" t="s">
        <v>711</v>
      </c>
      <c r="G19" s="56">
        <v>0.40347222222222223</v>
      </c>
      <c r="H19" s="57">
        <v>1.9</v>
      </c>
      <c r="I19" s="56">
        <v>0.52916666666666667</v>
      </c>
      <c r="J19" s="57">
        <v>2.4</v>
      </c>
      <c r="K19" s="59" t="s">
        <v>729</v>
      </c>
    </row>
    <row r="20" spans="1:12" ht="15.75" x14ac:dyDescent="0.25">
      <c r="A20" s="59">
        <v>17</v>
      </c>
      <c r="B20" s="59">
        <v>3</v>
      </c>
      <c r="C20" s="55">
        <v>40851</v>
      </c>
      <c r="D20" s="54" t="s">
        <v>360</v>
      </c>
      <c r="E20" s="54" t="s">
        <v>730</v>
      </c>
      <c r="F20" s="54" t="s">
        <v>731</v>
      </c>
      <c r="G20" s="56">
        <v>0.3840277777777778</v>
      </c>
      <c r="H20" s="57">
        <v>3.2</v>
      </c>
      <c r="I20" s="56">
        <v>7.013888888888889E-2</v>
      </c>
      <c r="J20" s="57">
        <v>2.4</v>
      </c>
      <c r="K20" s="59"/>
    </row>
    <row r="21" spans="1:12" ht="15.75" x14ac:dyDescent="0.25">
      <c r="A21" s="59">
        <v>18</v>
      </c>
      <c r="B21" s="59">
        <v>3</v>
      </c>
      <c r="C21" s="55">
        <v>40851</v>
      </c>
      <c r="D21" s="54" t="s">
        <v>361</v>
      </c>
      <c r="E21" s="54" t="s">
        <v>732</v>
      </c>
      <c r="F21" s="54" t="s">
        <v>711</v>
      </c>
      <c r="G21" s="56">
        <v>0.39583333333333331</v>
      </c>
      <c r="H21" s="57">
        <v>2.6</v>
      </c>
      <c r="I21" s="56">
        <v>0.52083333333333337</v>
      </c>
      <c r="J21" s="57">
        <v>2.2999999999999998</v>
      </c>
      <c r="K21" s="59"/>
    </row>
    <row r="22" spans="1:12" ht="15.75" x14ac:dyDescent="0.25">
      <c r="A22" s="59">
        <v>19</v>
      </c>
      <c r="B22" s="59">
        <v>3</v>
      </c>
      <c r="C22" s="55">
        <v>40840</v>
      </c>
      <c r="D22" s="54" t="s">
        <v>363</v>
      </c>
      <c r="E22" s="54" t="s">
        <v>733</v>
      </c>
      <c r="F22" s="54" t="s">
        <v>711</v>
      </c>
      <c r="G22" s="56">
        <v>0.39305555555555555</v>
      </c>
      <c r="H22" s="57"/>
      <c r="I22" s="56">
        <v>0.52361111111111114</v>
      </c>
      <c r="J22" s="57">
        <v>2.8</v>
      </c>
      <c r="K22" s="59"/>
    </row>
    <row r="23" spans="1:12" x14ac:dyDescent="0.25">
      <c r="A23" s="62"/>
      <c r="B23" s="62"/>
      <c r="C23" s="62"/>
      <c r="D23" s="62"/>
      <c r="E23" s="62"/>
      <c r="F23" s="62"/>
      <c r="G23" s="62"/>
      <c r="H23" s="62"/>
      <c r="I23" s="62"/>
      <c r="J23" s="62"/>
      <c r="K23" s="62"/>
      <c r="L23" s="62"/>
    </row>
    <row r="24" spans="1:12" x14ac:dyDescent="0.25">
      <c r="A24" s="62"/>
      <c r="B24" s="62"/>
      <c r="C24" s="62"/>
      <c r="D24" s="62"/>
      <c r="E24" s="62"/>
      <c r="F24" s="62"/>
      <c r="G24" s="62"/>
      <c r="H24" s="62"/>
      <c r="I24" s="62"/>
      <c r="J24" s="62"/>
      <c r="K24" s="62"/>
      <c r="L24" s="6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F99E5-5EF0-42DC-8C1E-8000E3206E58}">
  <dimension ref="A1:K29"/>
  <sheetViews>
    <sheetView workbookViewId="0">
      <selection activeCell="B29" sqref="B29"/>
    </sheetView>
  </sheetViews>
  <sheetFormatPr defaultRowHeight="15" x14ac:dyDescent="0.25"/>
  <cols>
    <col min="1" max="2" width="9.42578125" bestFit="1" customWidth="1"/>
    <col min="3" max="3" width="11.28515625" bestFit="1" customWidth="1"/>
    <col min="5" max="5" width="15" bestFit="1" customWidth="1"/>
    <col min="6" max="6" width="11.42578125" bestFit="1" customWidth="1"/>
    <col min="7" max="7" width="10.140625" bestFit="1" customWidth="1"/>
    <col min="8" max="8" width="22.7109375" bestFit="1" customWidth="1"/>
    <col min="9" max="10" width="9.42578125" bestFit="1" customWidth="1"/>
    <col min="11" max="11" width="80.28515625" bestFit="1" customWidth="1"/>
    <col min="12" max="12" width="73.5703125" bestFit="1" customWidth="1"/>
  </cols>
  <sheetData>
    <row r="1" spans="1:11" ht="15.75" x14ac:dyDescent="0.25">
      <c r="A1" s="48" t="s">
        <v>1081</v>
      </c>
      <c r="B1" s="48"/>
      <c r="C1" s="44"/>
      <c r="D1" s="44"/>
      <c r="E1" s="44"/>
      <c r="F1" s="44"/>
      <c r="G1" s="44"/>
      <c r="H1" s="44"/>
      <c r="I1" s="38"/>
      <c r="J1" s="38"/>
      <c r="K1" s="38"/>
    </row>
    <row r="2" spans="1:11" ht="15.75" x14ac:dyDescent="0.25">
      <c r="A2" s="49" t="s">
        <v>1</v>
      </c>
      <c r="B2" s="49"/>
      <c r="C2" s="44"/>
      <c r="D2" s="44"/>
      <c r="E2" s="44" t="s">
        <v>2</v>
      </c>
      <c r="F2" s="44"/>
      <c r="G2" s="44"/>
      <c r="H2" s="44" t="s">
        <v>3</v>
      </c>
      <c r="I2" s="38"/>
      <c r="J2" s="38"/>
      <c r="K2" s="38"/>
    </row>
    <row r="3" spans="1:11" ht="15.75" x14ac:dyDescent="0.25">
      <c r="A3" s="126" t="s">
        <v>4</v>
      </c>
      <c r="B3" s="126" t="s">
        <v>601</v>
      </c>
      <c r="C3" s="126" t="s">
        <v>350</v>
      </c>
      <c r="D3" s="126" t="s">
        <v>351</v>
      </c>
      <c r="E3" s="126" t="s">
        <v>352</v>
      </c>
      <c r="F3" s="126" t="s">
        <v>708</v>
      </c>
      <c r="G3" s="126" t="s">
        <v>768</v>
      </c>
      <c r="H3" s="126" t="s">
        <v>769</v>
      </c>
      <c r="I3" s="126" t="s">
        <v>605</v>
      </c>
      <c r="J3" s="126" t="s">
        <v>606</v>
      </c>
      <c r="K3" s="126" t="s">
        <v>709</v>
      </c>
    </row>
    <row r="4" spans="1:11" ht="15.75" x14ac:dyDescent="0.25">
      <c r="A4" s="150">
        <v>7</v>
      </c>
      <c r="B4" s="150">
        <v>1</v>
      </c>
      <c r="C4" s="151">
        <v>41176</v>
      </c>
      <c r="D4" s="150" t="s">
        <v>735</v>
      </c>
      <c r="E4" s="152" t="s">
        <v>736</v>
      </c>
      <c r="F4" s="152" t="s">
        <v>711</v>
      </c>
      <c r="G4" s="155">
        <v>0.3840277777777778</v>
      </c>
      <c r="H4" s="156">
        <v>2.02</v>
      </c>
      <c r="I4" s="155">
        <v>0.63680555555555551</v>
      </c>
      <c r="J4" s="154">
        <v>2.2000000000000002</v>
      </c>
      <c r="K4" s="63" t="s">
        <v>737</v>
      </c>
    </row>
    <row r="5" spans="1:11" ht="15.75" x14ac:dyDescent="0.25">
      <c r="A5" s="150">
        <v>8</v>
      </c>
      <c r="B5" s="150">
        <v>1</v>
      </c>
      <c r="C5" s="151">
        <v>41176</v>
      </c>
      <c r="D5" s="150" t="s">
        <v>738</v>
      </c>
      <c r="E5" s="150" t="s">
        <v>739</v>
      </c>
      <c r="F5" s="150" t="s">
        <v>711</v>
      </c>
      <c r="G5" s="153">
        <v>0.40902777777777777</v>
      </c>
      <c r="H5" s="150">
        <v>1.6</v>
      </c>
      <c r="I5" s="155">
        <v>0.57361111111111118</v>
      </c>
      <c r="J5" s="154">
        <v>1.6</v>
      </c>
      <c r="K5" s="63" t="s">
        <v>740</v>
      </c>
    </row>
    <row r="6" spans="1:11" ht="15.75" x14ac:dyDescent="0.25">
      <c r="A6" s="150">
        <v>9</v>
      </c>
      <c r="B6" s="150">
        <v>1</v>
      </c>
      <c r="C6" s="151">
        <v>41177</v>
      </c>
      <c r="D6" s="150" t="s">
        <v>443</v>
      </c>
      <c r="E6" s="150" t="s">
        <v>741</v>
      </c>
      <c r="F6" s="150" t="s">
        <v>711</v>
      </c>
      <c r="G6" s="153">
        <v>0.37361111111111112</v>
      </c>
      <c r="H6" s="150">
        <v>1.5</v>
      </c>
      <c r="I6" s="155">
        <v>0.54236111111111118</v>
      </c>
      <c r="J6" s="154">
        <v>1.6</v>
      </c>
      <c r="K6" s="63"/>
    </row>
    <row r="7" spans="1:11" ht="15.75" x14ac:dyDescent="0.25">
      <c r="A7" s="150">
        <v>10</v>
      </c>
      <c r="B7" s="150">
        <v>1</v>
      </c>
      <c r="C7" s="151">
        <v>41177</v>
      </c>
      <c r="D7" s="150" t="s">
        <v>445</v>
      </c>
      <c r="E7" s="150" t="s">
        <v>742</v>
      </c>
      <c r="F7" s="150" t="s">
        <v>731</v>
      </c>
      <c r="G7" s="153">
        <v>0.44097222222222227</v>
      </c>
      <c r="H7" s="150">
        <v>2.6</v>
      </c>
      <c r="I7" s="155">
        <v>0.60972222222222217</v>
      </c>
      <c r="J7" s="154">
        <v>2.2999999999999998</v>
      </c>
      <c r="K7" s="63" t="s">
        <v>743</v>
      </c>
    </row>
    <row r="8" spans="1:11" ht="15.75" x14ac:dyDescent="0.25">
      <c r="A8" s="150">
        <v>11</v>
      </c>
      <c r="B8" s="150">
        <v>1</v>
      </c>
      <c r="C8" s="151">
        <v>41183</v>
      </c>
      <c r="D8" s="150" t="s">
        <v>365</v>
      </c>
      <c r="E8" s="150" t="s">
        <v>744</v>
      </c>
      <c r="F8" s="150" t="s">
        <v>711</v>
      </c>
      <c r="G8" s="153">
        <v>0.38055555555555554</v>
      </c>
      <c r="H8" s="150">
        <v>1.8</v>
      </c>
      <c r="I8" s="155">
        <v>0.58472222222222225</v>
      </c>
      <c r="J8" s="154">
        <v>1.8</v>
      </c>
      <c r="K8" s="63"/>
    </row>
    <row r="9" spans="1:11" ht="15.75" x14ac:dyDescent="0.25">
      <c r="A9" s="150">
        <v>12</v>
      </c>
      <c r="B9" s="150">
        <v>1</v>
      </c>
      <c r="C9" s="151">
        <v>41178</v>
      </c>
      <c r="D9" s="150" t="s">
        <v>360</v>
      </c>
      <c r="E9" s="150" t="s">
        <v>745</v>
      </c>
      <c r="F9" s="150" t="s">
        <v>711</v>
      </c>
      <c r="G9" s="153">
        <v>0.40486111111111112</v>
      </c>
      <c r="H9" s="150">
        <v>1.4</v>
      </c>
      <c r="I9" s="155">
        <v>0.55694444444444446</v>
      </c>
      <c r="J9" s="154">
        <v>1</v>
      </c>
      <c r="K9" s="63"/>
    </row>
    <row r="10" spans="1:11" ht="15.75" x14ac:dyDescent="0.25">
      <c r="A10" s="150">
        <v>13</v>
      </c>
      <c r="B10" s="150">
        <v>1</v>
      </c>
      <c r="C10" s="151">
        <v>41179</v>
      </c>
      <c r="D10" s="150" t="s">
        <v>361</v>
      </c>
      <c r="E10" s="150" t="s">
        <v>746</v>
      </c>
      <c r="F10" s="150" t="s">
        <v>711</v>
      </c>
      <c r="G10" s="153">
        <v>0.38055555555555554</v>
      </c>
      <c r="H10" s="150">
        <v>1.8</v>
      </c>
      <c r="I10" s="155">
        <v>0.58472222222222225</v>
      </c>
      <c r="J10" s="154">
        <v>1.8</v>
      </c>
      <c r="K10" s="63"/>
    </row>
    <row r="11" spans="1:11" ht="15.75" x14ac:dyDescent="0.25">
      <c r="A11" s="150">
        <v>14</v>
      </c>
      <c r="B11" s="150">
        <v>1</v>
      </c>
      <c r="C11" s="151">
        <v>41179</v>
      </c>
      <c r="D11" s="150" t="s">
        <v>363</v>
      </c>
      <c r="E11" s="150" t="s">
        <v>747</v>
      </c>
      <c r="F11" s="150" t="s">
        <v>711</v>
      </c>
      <c r="G11" s="153">
        <v>0.38611111111111113</v>
      </c>
      <c r="H11" s="150">
        <v>3.5</v>
      </c>
      <c r="I11" s="155">
        <v>0.54722222222222217</v>
      </c>
      <c r="J11" s="154">
        <v>1.9</v>
      </c>
      <c r="K11" s="63"/>
    </row>
    <row r="12" spans="1:11" ht="15.75" x14ac:dyDescent="0.25">
      <c r="A12" s="150">
        <v>15</v>
      </c>
      <c r="B12" s="150">
        <v>2</v>
      </c>
      <c r="C12" s="151">
        <v>41191</v>
      </c>
      <c r="D12" s="150" t="s">
        <v>735</v>
      </c>
      <c r="E12" s="150" t="s">
        <v>748</v>
      </c>
      <c r="F12" s="150" t="s">
        <v>711</v>
      </c>
      <c r="G12" s="155">
        <v>0.40416666666666662</v>
      </c>
      <c r="H12" s="150">
        <v>1.1000000000000001</v>
      </c>
      <c r="I12" s="155">
        <v>0.6875</v>
      </c>
      <c r="J12" s="154">
        <v>2.6</v>
      </c>
      <c r="K12" s="63"/>
    </row>
    <row r="13" spans="1:11" ht="15.75" x14ac:dyDescent="0.25">
      <c r="A13" s="150">
        <v>16</v>
      </c>
      <c r="B13" s="150">
        <v>2</v>
      </c>
      <c r="C13" s="151">
        <v>41193</v>
      </c>
      <c r="D13" s="150" t="s">
        <v>738</v>
      </c>
      <c r="E13" s="150" t="s">
        <v>749</v>
      </c>
      <c r="F13" s="150" t="s">
        <v>711</v>
      </c>
      <c r="G13" s="155">
        <v>0.41180555555555554</v>
      </c>
      <c r="H13" s="156">
        <v>1.67</v>
      </c>
      <c r="I13" s="155">
        <v>0.69166666666666676</v>
      </c>
      <c r="J13" s="156">
        <v>6.02</v>
      </c>
      <c r="K13" s="63"/>
    </row>
    <row r="14" spans="1:11" ht="15.75" x14ac:dyDescent="0.25">
      <c r="A14" s="150">
        <v>17</v>
      </c>
      <c r="B14" s="150">
        <v>2</v>
      </c>
      <c r="C14" s="151">
        <v>41193</v>
      </c>
      <c r="D14" s="150" t="s">
        <v>443</v>
      </c>
      <c r="E14" s="150" t="s">
        <v>750</v>
      </c>
      <c r="F14" s="150" t="s">
        <v>711</v>
      </c>
      <c r="G14" s="155">
        <v>0.39930555555555558</v>
      </c>
      <c r="H14" s="150">
        <v>3</v>
      </c>
      <c r="I14" s="155">
        <v>0.64027777777777783</v>
      </c>
      <c r="J14" s="150">
        <v>2.2000000000000002</v>
      </c>
      <c r="K14" s="63"/>
    </row>
    <row r="15" spans="1:11" ht="15.75" x14ac:dyDescent="0.25">
      <c r="A15" s="150">
        <v>18</v>
      </c>
      <c r="B15" s="150">
        <v>2</v>
      </c>
      <c r="C15" s="151">
        <v>41192</v>
      </c>
      <c r="D15" s="150" t="s">
        <v>445</v>
      </c>
      <c r="E15" s="150" t="s">
        <v>751</v>
      </c>
      <c r="F15" s="150" t="s">
        <v>711</v>
      </c>
      <c r="G15" s="155">
        <v>0.41805555555555557</v>
      </c>
      <c r="H15" s="154" t="s">
        <v>412</v>
      </c>
      <c r="I15" s="155">
        <v>0.72083333333333333</v>
      </c>
      <c r="J15" s="154" t="s">
        <v>412</v>
      </c>
      <c r="K15" s="63" t="s">
        <v>752</v>
      </c>
    </row>
    <row r="16" spans="1:11" ht="15.75" x14ac:dyDescent="0.25">
      <c r="A16" s="150">
        <v>19</v>
      </c>
      <c r="B16" s="150">
        <v>2</v>
      </c>
      <c r="C16" s="151">
        <v>41191</v>
      </c>
      <c r="D16" s="150" t="s">
        <v>365</v>
      </c>
      <c r="E16" s="150" t="s">
        <v>753</v>
      </c>
      <c r="F16" s="150" t="s">
        <v>731</v>
      </c>
      <c r="G16" s="155">
        <v>0.41736111111111113</v>
      </c>
      <c r="H16" s="150">
        <v>4.9000000000000004</v>
      </c>
      <c r="I16" s="155">
        <v>0.6875</v>
      </c>
      <c r="J16" s="150">
        <v>2.6</v>
      </c>
      <c r="K16" s="63"/>
    </row>
    <row r="17" spans="1:11" ht="15.75" x14ac:dyDescent="0.25">
      <c r="A17" s="150">
        <v>20</v>
      </c>
      <c r="B17" s="150">
        <v>2</v>
      </c>
      <c r="C17" s="151">
        <v>41192</v>
      </c>
      <c r="D17" s="150" t="s">
        <v>360</v>
      </c>
      <c r="E17" s="150" t="s">
        <v>754</v>
      </c>
      <c r="F17" s="150" t="s">
        <v>711</v>
      </c>
      <c r="G17" s="155">
        <v>0.4069444444444445</v>
      </c>
      <c r="H17" s="150">
        <v>1.5</v>
      </c>
      <c r="I17" s="155">
        <v>0.59375</v>
      </c>
      <c r="J17" s="150">
        <v>2.1</v>
      </c>
      <c r="K17" s="63" t="s">
        <v>755</v>
      </c>
    </row>
    <row r="18" spans="1:11" ht="15.75" x14ac:dyDescent="0.25">
      <c r="A18" s="150">
        <v>21</v>
      </c>
      <c r="B18" s="150">
        <v>2</v>
      </c>
      <c r="C18" s="151">
        <v>41194</v>
      </c>
      <c r="D18" s="150" t="s">
        <v>361</v>
      </c>
      <c r="E18" s="150" t="s">
        <v>734</v>
      </c>
      <c r="F18" s="150" t="s">
        <v>722</v>
      </c>
      <c r="G18" s="155">
        <v>0.375</v>
      </c>
      <c r="H18" s="150">
        <v>3.5</v>
      </c>
      <c r="I18" s="155">
        <v>0.50763888888888886</v>
      </c>
      <c r="J18" s="150">
        <v>2.1</v>
      </c>
      <c r="K18" s="63"/>
    </row>
    <row r="19" spans="1:11" ht="15.75" x14ac:dyDescent="0.25">
      <c r="A19" s="150">
        <v>22</v>
      </c>
      <c r="B19" s="150">
        <v>2</v>
      </c>
      <c r="C19" s="151">
        <v>41194</v>
      </c>
      <c r="D19" s="150" t="s">
        <v>363</v>
      </c>
      <c r="E19" s="150" t="s">
        <v>756</v>
      </c>
      <c r="F19" s="150" t="s">
        <v>722</v>
      </c>
      <c r="G19" s="155">
        <v>0.3888888888888889</v>
      </c>
      <c r="H19" s="150">
        <v>3.6</v>
      </c>
      <c r="I19" s="155">
        <v>0.57500000000000007</v>
      </c>
      <c r="J19" s="150">
        <v>1.5</v>
      </c>
      <c r="K19" s="63"/>
    </row>
    <row r="20" spans="1:11" ht="15.75" x14ac:dyDescent="0.25">
      <c r="A20" s="150">
        <v>23</v>
      </c>
      <c r="B20" s="150">
        <v>3</v>
      </c>
      <c r="C20" s="151">
        <v>41205</v>
      </c>
      <c r="D20" s="150" t="s">
        <v>735</v>
      </c>
      <c r="E20" s="150" t="s">
        <v>757</v>
      </c>
      <c r="F20" s="150" t="s">
        <v>731</v>
      </c>
      <c r="G20" s="155">
        <v>0.40486111111111112</v>
      </c>
      <c r="H20" s="150">
        <v>2.2999999999999998</v>
      </c>
      <c r="I20" s="155">
        <v>0.63680555555555551</v>
      </c>
      <c r="J20" s="150">
        <v>2.4</v>
      </c>
      <c r="K20" s="63"/>
    </row>
    <row r="21" spans="1:11" ht="15.75" x14ac:dyDescent="0.25">
      <c r="A21" s="150">
        <v>24</v>
      </c>
      <c r="B21" s="150">
        <v>3</v>
      </c>
      <c r="C21" s="151">
        <v>41206</v>
      </c>
      <c r="D21" s="150" t="s">
        <v>738</v>
      </c>
      <c r="E21" s="150" t="s">
        <v>758</v>
      </c>
      <c r="F21" s="150" t="s">
        <v>759</v>
      </c>
      <c r="G21" s="155">
        <v>0.40486111111111112</v>
      </c>
      <c r="H21" s="150">
        <v>2.4</v>
      </c>
      <c r="I21" s="155">
        <v>0.49305555555555558</v>
      </c>
      <c r="J21" s="150">
        <v>3.3</v>
      </c>
      <c r="K21" s="63"/>
    </row>
    <row r="22" spans="1:11" ht="15.75" x14ac:dyDescent="0.25">
      <c r="A22" s="150">
        <v>25</v>
      </c>
      <c r="B22" s="150">
        <v>3</v>
      </c>
      <c r="C22" s="151">
        <v>41207</v>
      </c>
      <c r="D22" s="150" t="s">
        <v>443</v>
      </c>
      <c r="E22" s="150" t="s">
        <v>760</v>
      </c>
      <c r="F22" s="150" t="s">
        <v>711</v>
      </c>
      <c r="G22" s="155">
        <v>0.40625</v>
      </c>
      <c r="H22" s="150">
        <v>1.9</v>
      </c>
      <c r="I22" s="155">
        <v>0.64236111111111105</v>
      </c>
      <c r="J22" s="150">
        <v>1.8</v>
      </c>
      <c r="K22" s="63"/>
    </row>
    <row r="23" spans="1:11" ht="15.75" x14ac:dyDescent="0.25">
      <c r="A23" s="150">
        <v>26</v>
      </c>
      <c r="B23" s="150">
        <v>3</v>
      </c>
      <c r="C23" s="151">
        <v>41207</v>
      </c>
      <c r="D23" s="150" t="s">
        <v>445</v>
      </c>
      <c r="E23" s="150" t="s">
        <v>761</v>
      </c>
      <c r="F23" s="150" t="s">
        <v>711</v>
      </c>
      <c r="G23" s="155">
        <v>0.41111111111111115</v>
      </c>
      <c r="H23" s="150">
        <v>2.2000000000000002</v>
      </c>
      <c r="I23" s="155">
        <v>0.60277777777777775</v>
      </c>
      <c r="J23" s="150">
        <v>2.7</v>
      </c>
      <c r="K23" s="63"/>
    </row>
    <row r="24" spans="1:11" ht="15.75" x14ac:dyDescent="0.25">
      <c r="A24" s="150">
        <v>27</v>
      </c>
      <c r="B24" s="150">
        <v>3</v>
      </c>
      <c r="C24" s="151">
        <v>41204</v>
      </c>
      <c r="D24" s="150" t="s">
        <v>365</v>
      </c>
      <c r="E24" s="150" t="s">
        <v>762</v>
      </c>
      <c r="F24" s="150" t="s">
        <v>759</v>
      </c>
      <c r="G24" s="155">
        <v>0.42986111111111108</v>
      </c>
      <c r="H24" s="150">
        <v>4.8</v>
      </c>
      <c r="I24" s="155">
        <v>0.68194444444444446</v>
      </c>
      <c r="J24" s="150">
        <v>4.3</v>
      </c>
      <c r="K24" s="63"/>
    </row>
    <row r="25" spans="1:11" ht="15.75" x14ac:dyDescent="0.25">
      <c r="A25" s="150">
        <v>28</v>
      </c>
      <c r="B25" s="150">
        <v>3</v>
      </c>
      <c r="C25" s="151">
        <v>41208</v>
      </c>
      <c r="D25" s="150" t="s">
        <v>360</v>
      </c>
      <c r="E25" s="150" t="s">
        <v>763</v>
      </c>
      <c r="F25" s="150" t="s">
        <v>711</v>
      </c>
      <c r="G25" s="155">
        <v>0.39861111111111108</v>
      </c>
      <c r="H25" s="156">
        <v>3.71</v>
      </c>
      <c r="I25" s="155">
        <v>0.45624999999999999</v>
      </c>
      <c r="J25" s="156">
        <v>3.28</v>
      </c>
      <c r="K25" s="63" t="s">
        <v>764</v>
      </c>
    </row>
    <row r="26" spans="1:11" ht="15.75" x14ac:dyDescent="0.25">
      <c r="A26" s="150">
        <v>29</v>
      </c>
      <c r="B26" s="150">
        <v>3</v>
      </c>
      <c r="C26" s="151">
        <v>41219</v>
      </c>
      <c r="D26" s="150" t="s">
        <v>360</v>
      </c>
      <c r="E26" s="150" t="s">
        <v>739</v>
      </c>
      <c r="F26" s="150" t="s">
        <v>711</v>
      </c>
      <c r="G26" s="155">
        <v>0.41111111111111115</v>
      </c>
      <c r="H26" s="156">
        <v>1.43</v>
      </c>
      <c r="I26" s="155">
        <v>0.57916666666666672</v>
      </c>
      <c r="J26" s="156">
        <v>1.65</v>
      </c>
      <c r="K26" s="63" t="s">
        <v>765</v>
      </c>
    </row>
    <row r="27" spans="1:11" ht="15.75" x14ac:dyDescent="0.25">
      <c r="A27" s="150">
        <v>30</v>
      </c>
      <c r="B27" s="150">
        <v>3</v>
      </c>
      <c r="C27" s="151">
        <v>41208</v>
      </c>
      <c r="D27" s="150" t="s">
        <v>361</v>
      </c>
      <c r="E27" s="150" t="s">
        <v>766</v>
      </c>
      <c r="F27" s="150" t="s">
        <v>711</v>
      </c>
      <c r="G27" s="155">
        <v>0.42638888888888887</v>
      </c>
      <c r="H27" s="150">
        <v>6.5</v>
      </c>
      <c r="I27" s="155">
        <v>0.65069444444444446</v>
      </c>
      <c r="J27" s="150">
        <v>2.6</v>
      </c>
      <c r="K27" s="63"/>
    </row>
    <row r="28" spans="1:11" ht="15.75" x14ac:dyDescent="0.25">
      <c r="A28" s="150">
        <v>31</v>
      </c>
      <c r="B28" s="150">
        <v>3</v>
      </c>
      <c r="C28" s="151">
        <v>41222</v>
      </c>
      <c r="D28" s="150" t="s">
        <v>363</v>
      </c>
      <c r="E28" s="150" t="s">
        <v>767</v>
      </c>
      <c r="F28" s="150" t="s">
        <v>731</v>
      </c>
      <c r="G28" s="155">
        <v>0.37222222222222223</v>
      </c>
      <c r="H28" s="156">
        <v>2.14</v>
      </c>
      <c r="I28" s="155">
        <v>0.52847222222222223</v>
      </c>
      <c r="J28" s="156">
        <v>3.12</v>
      </c>
      <c r="K28" s="63"/>
    </row>
    <row r="29" spans="1:11" ht="15.75" x14ac:dyDescent="0.25">
      <c r="A29" s="38"/>
      <c r="B29" s="38"/>
      <c r="C29" s="38"/>
      <c r="D29" s="38"/>
      <c r="E29" s="38"/>
      <c r="F29" s="38"/>
      <c r="G29" s="38"/>
      <c r="H29" s="38"/>
      <c r="I29" s="38"/>
      <c r="J29" s="38"/>
      <c r="K29" s="38"/>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C8F00-905A-48FC-A3E0-C717B3C2E928}">
  <dimension ref="A1:L41"/>
  <sheetViews>
    <sheetView zoomScale="80" zoomScaleNormal="80" workbookViewId="0">
      <selection activeCell="E11" sqref="E11"/>
    </sheetView>
  </sheetViews>
  <sheetFormatPr defaultRowHeight="15" x14ac:dyDescent="0.25"/>
  <cols>
    <col min="1" max="2" width="9.28515625" bestFit="1" customWidth="1"/>
    <col min="3" max="3" width="13.42578125" customWidth="1"/>
    <col min="4" max="4" width="11.5703125" customWidth="1"/>
    <col min="5" max="5" width="13" customWidth="1"/>
    <col min="6" max="6" width="15" customWidth="1"/>
    <col min="7" max="7" width="13.42578125" customWidth="1"/>
    <col min="8" max="8" width="14.5703125" bestFit="1" customWidth="1"/>
    <col min="9" max="9" width="11.5703125" bestFit="1" customWidth="1"/>
    <col min="10" max="10" width="12.42578125" customWidth="1"/>
    <col min="11" max="11" width="38.42578125" bestFit="1" customWidth="1"/>
  </cols>
  <sheetData>
    <row r="1" spans="1:12" ht="15.75" x14ac:dyDescent="0.25">
      <c r="A1" s="48" t="s">
        <v>1090</v>
      </c>
      <c r="B1" s="48"/>
      <c r="C1" s="44"/>
      <c r="D1" s="44"/>
      <c r="E1" s="44"/>
      <c r="F1" s="44"/>
      <c r="G1" s="44"/>
      <c r="H1" s="44"/>
      <c r="I1" s="102"/>
      <c r="J1" s="102"/>
      <c r="K1" s="102"/>
      <c r="L1" s="102"/>
    </row>
    <row r="2" spans="1:12" ht="15.75" x14ac:dyDescent="0.25">
      <c r="A2" s="49" t="s">
        <v>1</v>
      </c>
      <c r="B2" s="49"/>
      <c r="C2" s="44"/>
      <c r="D2" s="44"/>
      <c r="E2" s="44" t="s">
        <v>2</v>
      </c>
      <c r="F2" s="44"/>
      <c r="G2" s="44"/>
      <c r="H2" s="44" t="s">
        <v>3</v>
      </c>
      <c r="I2" s="102"/>
      <c r="J2" s="102"/>
      <c r="K2" s="102"/>
      <c r="L2" s="102"/>
    </row>
    <row r="3" spans="1:12" ht="15.75" x14ac:dyDescent="0.25">
      <c r="A3" s="141" t="s">
        <v>4</v>
      </c>
      <c r="B3" s="141" t="s">
        <v>601</v>
      </c>
      <c r="C3" s="141" t="s">
        <v>350</v>
      </c>
      <c r="D3" s="141" t="s">
        <v>351</v>
      </c>
      <c r="E3" s="141" t="s">
        <v>352</v>
      </c>
      <c r="F3" s="141" t="s">
        <v>708</v>
      </c>
      <c r="G3" s="141" t="s">
        <v>768</v>
      </c>
      <c r="H3" s="141" t="s">
        <v>769</v>
      </c>
      <c r="I3" s="141" t="s">
        <v>605</v>
      </c>
      <c r="J3" s="141" t="s">
        <v>606</v>
      </c>
      <c r="K3" s="141" t="s">
        <v>709</v>
      </c>
      <c r="L3" s="102"/>
    </row>
    <row r="4" spans="1:12" ht="15.75" x14ac:dyDescent="0.25">
      <c r="A4" s="136">
        <v>1</v>
      </c>
      <c r="B4" s="136">
        <v>0</v>
      </c>
      <c r="C4" s="142">
        <v>41500</v>
      </c>
      <c r="D4" s="136" t="s">
        <v>366</v>
      </c>
      <c r="E4" s="143" t="s">
        <v>770</v>
      </c>
      <c r="F4" s="136" t="s">
        <v>711</v>
      </c>
      <c r="G4" s="144" t="s">
        <v>771</v>
      </c>
      <c r="H4" s="136">
        <v>0.9</v>
      </c>
      <c r="I4" s="136" t="s">
        <v>772</v>
      </c>
      <c r="J4" s="136">
        <v>2.1</v>
      </c>
      <c r="K4" s="136" t="s">
        <v>773</v>
      </c>
      <c r="L4" s="102"/>
    </row>
    <row r="5" spans="1:12" ht="15.75" x14ac:dyDescent="0.25">
      <c r="A5" s="136">
        <v>2</v>
      </c>
      <c r="B5" s="136">
        <v>1</v>
      </c>
      <c r="C5" s="142">
        <v>41526</v>
      </c>
      <c r="D5" s="136" t="s">
        <v>735</v>
      </c>
      <c r="E5" s="143" t="s">
        <v>774</v>
      </c>
      <c r="F5" s="136" t="s">
        <v>711</v>
      </c>
      <c r="G5" s="144" t="s">
        <v>775</v>
      </c>
      <c r="H5" s="136">
        <v>0.8</v>
      </c>
      <c r="I5" s="136" t="s">
        <v>776</v>
      </c>
      <c r="J5" s="136">
        <v>1.41</v>
      </c>
      <c r="K5" s="136" t="s">
        <v>777</v>
      </c>
      <c r="L5" s="102"/>
    </row>
    <row r="6" spans="1:12" ht="15.75" x14ac:dyDescent="0.25">
      <c r="A6" s="136">
        <v>3</v>
      </c>
      <c r="B6" s="136">
        <v>1</v>
      </c>
      <c r="C6" s="142">
        <v>41526</v>
      </c>
      <c r="D6" s="136" t="s">
        <v>738</v>
      </c>
      <c r="E6" s="143" t="s">
        <v>778</v>
      </c>
      <c r="F6" s="136" t="s">
        <v>711</v>
      </c>
      <c r="G6" s="144" t="s">
        <v>779</v>
      </c>
      <c r="H6" s="136">
        <v>3.3</v>
      </c>
      <c r="I6" s="136" t="s">
        <v>780</v>
      </c>
      <c r="J6" s="136">
        <v>1.2</v>
      </c>
      <c r="K6" s="136" t="s">
        <v>777</v>
      </c>
      <c r="L6" s="102"/>
    </row>
    <row r="7" spans="1:12" ht="15.75" x14ac:dyDescent="0.25">
      <c r="A7" s="136">
        <v>4</v>
      </c>
      <c r="B7" s="136">
        <v>1</v>
      </c>
      <c r="C7" s="142">
        <v>41528</v>
      </c>
      <c r="D7" s="136" t="s">
        <v>443</v>
      </c>
      <c r="E7" s="143" t="s">
        <v>781</v>
      </c>
      <c r="F7" s="136" t="s">
        <v>731</v>
      </c>
      <c r="G7" s="144" t="s">
        <v>782</v>
      </c>
      <c r="H7" s="136">
        <v>0.97</v>
      </c>
      <c r="I7" s="136" t="s">
        <v>783</v>
      </c>
      <c r="J7" s="136">
        <v>0.82</v>
      </c>
      <c r="K7" s="136" t="s">
        <v>777</v>
      </c>
      <c r="L7" s="102"/>
    </row>
    <row r="8" spans="1:12" ht="15.75" x14ac:dyDescent="0.25">
      <c r="A8" s="136">
        <v>5</v>
      </c>
      <c r="B8" s="136">
        <v>1</v>
      </c>
      <c r="C8" s="142">
        <v>41528</v>
      </c>
      <c r="D8" s="136" t="s">
        <v>784</v>
      </c>
      <c r="E8" s="143" t="s">
        <v>785</v>
      </c>
      <c r="F8" s="136" t="s">
        <v>711</v>
      </c>
      <c r="G8" s="144" t="s">
        <v>786</v>
      </c>
      <c r="H8" s="136">
        <v>1.2</v>
      </c>
      <c r="I8" s="136" t="s">
        <v>787</v>
      </c>
      <c r="J8" s="136">
        <v>1.9</v>
      </c>
      <c r="K8" s="136" t="s">
        <v>788</v>
      </c>
      <c r="L8" s="102"/>
    </row>
    <row r="9" spans="1:12" ht="15.75" x14ac:dyDescent="0.25">
      <c r="A9" s="136">
        <v>6</v>
      </c>
      <c r="B9" s="136">
        <v>1</v>
      </c>
      <c r="C9" s="142">
        <v>41527</v>
      </c>
      <c r="D9" s="136" t="s">
        <v>365</v>
      </c>
      <c r="E9" s="143" t="s">
        <v>789</v>
      </c>
      <c r="F9" s="136" t="s">
        <v>711</v>
      </c>
      <c r="G9" s="144" t="s">
        <v>790</v>
      </c>
      <c r="H9" s="136">
        <v>1.4</v>
      </c>
      <c r="I9" s="136" t="s">
        <v>791</v>
      </c>
      <c r="J9" s="136">
        <v>1.4</v>
      </c>
      <c r="K9" s="136" t="s">
        <v>777</v>
      </c>
      <c r="L9" s="102"/>
    </row>
    <row r="10" spans="1:12" ht="15.75" x14ac:dyDescent="0.25">
      <c r="A10" s="136">
        <v>7</v>
      </c>
      <c r="B10" s="136">
        <v>1</v>
      </c>
      <c r="C10" s="142">
        <v>41529</v>
      </c>
      <c r="D10" s="136" t="s">
        <v>792</v>
      </c>
      <c r="E10" s="143" t="s">
        <v>793</v>
      </c>
      <c r="F10" s="136" t="s">
        <v>731</v>
      </c>
      <c r="G10" s="144" t="s">
        <v>794</v>
      </c>
      <c r="H10" s="136">
        <v>1.1000000000000001</v>
      </c>
      <c r="I10" s="136" t="s">
        <v>795</v>
      </c>
      <c r="J10" s="136">
        <v>1.2</v>
      </c>
      <c r="K10" s="136" t="s">
        <v>796</v>
      </c>
      <c r="L10" s="102"/>
    </row>
    <row r="11" spans="1:12" ht="15.75" x14ac:dyDescent="0.25">
      <c r="A11" s="136">
        <v>8</v>
      </c>
      <c r="B11" s="136">
        <v>1</v>
      </c>
      <c r="C11" s="142">
        <v>41529</v>
      </c>
      <c r="D11" s="136" t="s">
        <v>361</v>
      </c>
      <c r="E11" s="143" t="s">
        <v>797</v>
      </c>
      <c r="F11" s="136" t="s">
        <v>731</v>
      </c>
      <c r="G11" s="144" t="s">
        <v>798</v>
      </c>
      <c r="H11" s="136">
        <v>1.2</v>
      </c>
      <c r="I11" s="136" t="s">
        <v>799</v>
      </c>
      <c r="J11" s="136">
        <v>1.1000000000000001</v>
      </c>
      <c r="K11" s="136" t="s">
        <v>800</v>
      </c>
      <c r="L11" s="102"/>
    </row>
    <row r="12" spans="1:12" ht="15.75" x14ac:dyDescent="0.25">
      <c r="A12" s="136">
        <v>9</v>
      </c>
      <c r="B12" s="136">
        <v>1</v>
      </c>
      <c r="C12" s="142">
        <v>41530</v>
      </c>
      <c r="D12" s="136" t="s">
        <v>363</v>
      </c>
      <c r="E12" s="143" t="s">
        <v>801</v>
      </c>
      <c r="F12" s="136" t="s">
        <v>731</v>
      </c>
      <c r="G12" s="144" t="s">
        <v>802</v>
      </c>
      <c r="H12" s="136">
        <v>1.3</v>
      </c>
      <c r="I12" s="136" t="s">
        <v>803</v>
      </c>
      <c r="J12" s="136">
        <v>1.22</v>
      </c>
      <c r="K12" s="136" t="s">
        <v>777</v>
      </c>
      <c r="L12" s="102"/>
    </row>
    <row r="13" spans="1:12" ht="15.75" x14ac:dyDescent="0.25">
      <c r="A13" s="136">
        <v>10</v>
      </c>
      <c r="B13" s="136">
        <v>2</v>
      </c>
      <c r="C13" s="142">
        <v>41540</v>
      </c>
      <c r="D13" s="136" t="s">
        <v>735</v>
      </c>
      <c r="E13" s="143" t="s">
        <v>804</v>
      </c>
      <c r="F13" s="136" t="s">
        <v>711</v>
      </c>
      <c r="G13" s="144" t="s">
        <v>805</v>
      </c>
      <c r="H13" s="136">
        <v>0.6</v>
      </c>
      <c r="I13" s="136" t="s">
        <v>806</v>
      </c>
      <c r="J13" s="136">
        <v>0.9</v>
      </c>
      <c r="K13" s="136" t="s">
        <v>777</v>
      </c>
      <c r="L13" s="102"/>
    </row>
    <row r="14" spans="1:12" ht="15.75" x14ac:dyDescent="0.25">
      <c r="A14" s="136">
        <v>11</v>
      </c>
      <c r="B14" s="136">
        <v>2</v>
      </c>
      <c r="C14" s="142">
        <v>41540</v>
      </c>
      <c r="D14" s="136" t="s">
        <v>738</v>
      </c>
      <c r="E14" s="143" t="s">
        <v>807</v>
      </c>
      <c r="F14" s="136" t="s">
        <v>711</v>
      </c>
      <c r="G14" s="144" t="s">
        <v>808</v>
      </c>
      <c r="H14" s="136">
        <v>1</v>
      </c>
      <c r="I14" s="136" t="s">
        <v>809</v>
      </c>
      <c r="J14" s="136">
        <v>1.7</v>
      </c>
      <c r="K14" s="136"/>
      <c r="L14" s="102"/>
    </row>
    <row r="15" spans="1:12" ht="15.75" x14ac:dyDescent="0.25">
      <c r="A15" s="136">
        <v>12</v>
      </c>
      <c r="B15" s="136">
        <v>2</v>
      </c>
      <c r="C15" s="142">
        <v>41541</v>
      </c>
      <c r="D15" s="136" t="s">
        <v>810</v>
      </c>
      <c r="E15" s="143" t="s">
        <v>811</v>
      </c>
      <c r="F15" s="136" t="s">
        <v>722</v>
      </c>
      <c r="G15" s="144" t="s">
        <v>812</v>
      </c>
      <c r="H15" s="136">
        <v>1.8</v>
      </c>
      <c r="I15" s="145">
        <v>0.49063657407407407</v>
      </c>
      <c r="J15" s="136">
        <v>1.8</v>
      </c>
      <c r="K15" s="136" t="s">
        <v>813</v>
      </c>
      <c r="L15" s="102"/>
    </row>
    <row r="16" spans="1:12" ht="15.75" x14ac:dyDescent="0.25">
      <c r="A16" s="136">
        <v>13</v>
      </c>
      <c r="B16" s="136">
        <v>2</v>
      </c>
      <c r="C16" s="142">
        <v>41541</v>
      </c>
      <c r="D16" s="136" t="s">
        <v>784</v>
      </c>
      <c r="E16" s="143" t="s">
        <v>814</v>
      </c>
      <c r="F16" s="136" t="s">
        <v>722</v>
      </c>
      <c r="G16" s="144" t="s">
        <v>815</v>
      </c>
      <c r="H16" s="146">
        <v>1.6</v>
      </c>
      <c r="I16" s="136" t="s">
        <v>816</v>
      </c>
      <c r="J16" s="146">
        <v>0.92</v>
      </c>
      <c r="K16" s="136" t="s">
        <v>817</v>
      </c>
      <c r="L16" s="102"/>
    </row>
    <row r="17" spans="1:12" ht="15.75" x14ac:dyDescent="0.25">
      <c r="A17" s="136">
        <v>14</v>
      </c>
      <c r="B17" s="136">
        <v>2</v>
      </c>
      <c r="C17" s="142">
        <v>41542</v>
      </c>
      <c r="D17" s="136" t="s">
        <v>365</v>
      </c>
      <c r="E17" s="143" t="s">
        <v>818</v>
      </c>
      <c r="F17" s="136" t="s">
        <v>711</v>
      </c>
      <c r="G17" s="144" t="s">
        <v>819</v>
      </c>
      <c r="H17" s="136">
        <v>1.1000000000000001</v>
      </c>
      <c r="I17" s="136" t="s">
        <v>820</v>
      </c>
      <c r="J17" s="136">
        <v>1.2</v>
      </c>
      <c r="K17" s="136" t="s">
        <v>777</v>
      </c>
      <c r="L17" s="102"/>
    </row>
    <row r="18" spans="1:12" ht="15.75" x14ac:dyDescent="0.25">
      <c r="A18" s="136">
        <v>15</v>
      </c>
      <c r="B18" s="136">
        <v>2</v>
      </c>
      <c r="C18" s="142">
        <v>41543</v>
      </c>
      <c r="D18" s="136" t="s">
        <v>792</v>
      </c>
      <c r="E18" s="143" t="s">
        <v>821</v>
      </c>
      <c r="F18" s="136" t="s">
        <v>711</v>
      </c>
      <c r="G18" s="144" t="s">
        <v>822</v>
      </c>
      <c r="H18" s="136">
        <v>0.9</v>
      </c>
      <c r="I18" s="136" t="s">
        <v>823</v>
      </c>
      <c r="J18" s="146">
        <v>1.04</v>
      </c>
      <c r="K18" s="136"/>
      <c r="L18" s="102"/>
    </row>
    <row r="19" spans="1:12" ht="15.75" x14ac:dyDescent="0.25">
      <c r="A19" s="136">
        <v>16</v>
      </c>
      <c r="B19" s="136">
        <v>2</v>
      </c>
      <c r="C19" s="142">
        <v>41543</v>
      </c>
      <c r="D19" s="136" t="s">
        <v>361</v>
      </c>
      <c r="E19" s="143" t="s">
        <v>824</v>
      </c>
      <c r="F19" s="136" t="s">
        <v>711</v>
      </c>
      <c r="G19" s="144" t="s">
        <v>825</v>
      </c>
      <c r="H19" s="146">
        <v>0.87</v>
      </c>
      <c r="I19" s="136" t="s">
        <v>826</v>
      </c>
      <c r="J19" s="146">
        <v>0.77</v>
      </c>
      <c r="K19" s="136"/>
      <c r="L19" s="102"/>
    </row>
    <row r="20" spans="1:12" ht="15.75" x14ac:dyDescent="0.25">
      <c r="A20" s="136">
        <v>17</v>
      </c>
      <c r="B20" s="136">
        <v>2</v>
      </c>
      <c r="C20" s="142">
        <v>41544</v>
      </c>
      <c r="D20" s="136" t="s">
        <v>363</v>
      </c>
      <c r="E20" s="143" t="s">
        <v>827</v>
      </c>
      <c r="F20" s="136" t="s">
        <v>711</v>
      </c>
      <c r="G20" s="144" t="s">
        <v>828</v>
      </c>
      <c r="H20" s="146">
        <v>0.89</v>
      </c>
      <c r="I20" s="136" t="s">
        <v>829</v>
      </c>
      <c r="J20" s="146">
        <v>1.21</v>
      </c>
      <c r="K20" s="136"/>
      <c r="L20" s="102"/>
    </row>
    <row r="21" spans="1:12" ht="15.75" x14ac:dyDescent="0.25">
      <c r="A21" s="136">
        <v>18</v>
      </c>
      <c r="B21" s="136">
        <v>3</v>
      </c>
      <c r="C21" s="142">
        <v>41568</v>
      </c>
      <c r="D21" s="136" t="s">
        <v>735</v>
      </c>
      <c r="E21" s="143" t="s">
        <v>830</v>
      </c>
      <c r="F21" s="136" t="s">
        <v>711</v>
      </c>
      <c r="G21" s="144" t="s">
        <v>831</v>
      </c>
      <c r="H21" s="146">
        <v>0.59</v>
      </c>
      <c r="I21" s="63" t="s">
        <v>832</v>
      </c>
      <c r="J21" s="146">
        <v>0.86</v>
      </c>
      <c r="K21" s="136"/>
      <c r="L21" s="102"/>
    </row>
    <row r="22" spans="1:12" ht="15.75" x14ac:dyDescent="0.25">
      <c r="A22" s="136">
        <v>19</v>
      </c>
      <c r="B22" s="136">
        <v>3</v>
      </c>
      <c r="C22" s="142">
        <v>41568</v>
      </c>
      <c r="D22" s="136" t="s">
        <v>738</v>
      </c>
      <c r="E22" s="143" t="s">
        <v>833</v>
      </c>
      <c r="F22" s="136" t="s">
        <v>711</v>
      </c>
      <c r="G22" s="144" t="s">
        <v>834</v>
      </c>
      <c r="H22" s="146">
        <v>1.28</v>
      </c>
      <c r="I22" s="63" t="s">
        <v>835</v>
      </c>
      <c r="J22" s="63">
        <v>2</v>
      </c>
      <c r="K22" s="136"/>
      <c r="L22" s="102"/>
    </row>
    <row r="23" spans="1:12" ht="15.75" x14ac:dyDescent="0.25">
      <c r="A23" s="136">
        <v>20</v>
      </c>
      <c r="B23" s="136">
        <v>3</v>
      </c>
      <c r="C23" s="142">
        <v>41569</v>
      </c>
      <c r="D23" s="136" t="s">
        <v>443</v>
      </c>
      <c r="E23" s="143" t="s">
        <v>836</v>
      </c>
      <c r="F23" s="136" t="s">
        <v>711</v>
      </c>
      <c r="G23" s="144" t="s">
        <v>837</v>
      </c>
      <c r="H23" s="63">
        <v>1.2</v>
      </c>
      <c r="I23" s="137">
        <v>0.56049768518518517</v>
      </c>
      <c r="J23" s="146">
        <v>1.22</v>
      </c>
      <c r="K23" s="136"/>
      <c r="L23" s="102"/>
    </row>
    <row r="24" spans="1:12" ht="15.75" x14ac:dyDescent="0.25">
      <c r="A24" s="136">
        <v>21</v>
      </c>
      <c r="B24" s="136">
        <v>3</v>
      </c>
      <c r="C24" s="142">
        <v>41569</v>
      </c>
      <c r="D24" s="136" t="s">
        <v>784</v>
      </c>
      <c r="E24" s="147" t="s">
        <v>838</v>
      </c>
      <c r="F24" s="146" t="s">
        <v>711</v>
      </c>
      <c r="G24" s="148" t="s">
        <v>839</v>
      </c>
      <c r="H24" s="146">
        <v>2.8</v>
      </c>
      <c r="I24" s="145">
        <v>0.55192129629629627</v>
      </c>
      <c r="J24" s="146">
        <v>1.1000000000000001</v>
      </c>
      <c r="K24" s="136"/>
      <c r="L24" s="102"/>
    </row>
    <row r="25" spans="1:12" ht="15.75" x14ac:dyDescent="0.25">
      <c r="A25" s="136">
        <v>22</v>
      </c>
      <c r="B25" s="136">
        <v>3</v>
      </c>
      <c r="C25" s="142">
        <v>41570</v>
      </c>
      <c r="D25" s="136" t="s">
        <v>365</v>
      </c>
      <c r="E25" s="143" t="s">
        <v>840</v>
      </c>
      <c r="F25" s="136" t="s">
        <v>711</v>
      </c>
      <c r="G25" s="144" t="s">
        <v>841</v>
      </c>
      <c r="H25" s="146">
        <v>1.36</v>
      </c>
      <c r="I25" s="63" t="s">
        <v>842</v>
      </c>
      <c r="J25" s="146">
        <v>1.06</v>
      </c>
      <c r="K25" s="136"/>
      <c r="L25" s="102"/>
    </row>
    <row r="26" spans="1:12" ht="15.75" x14ac:dyDescent="0.25">
      <c r="A26" s="136">
        <v>23</v>
      </c>
      <c r="B26" s="136">
        <v>3</v>
      </c>
      <c r="C26" s="142">
        <v>41571</v>
      </c>
      <c r="D26" s="136" t="s">
        <v>792</v>
      </c>
      <c r="E26" s="143" t="s">
        <v>843</v>
      </c>
      <c r="F26" s="136" t="s">
        <v>711</v>
      </c>
      <c r="G26" s="144" t="s">
        <v>844</v>
      </c>
      <c r="H26" s="146">
        <v>1.1499999999999999</v>
      </c>
      <c r="I26" s="145">
        <v>0.50915509259259262</v>
      </c>
      <c r="J26" s="146">
        <v>1.17</v>
      </c>
      <c r="K26" s="136"/>
      <c r="L26" s="102"/>
    </row>
    <row r="27" spans="1:12" ht="15.75" x14ac:dyDescent="0.25">
      <c r="A27" s="136">
        <v>24</v>
      </c>
      <c r="B27" s="136">
        <v>3</v>
      </c>
      <c r="C27" s="142">
        <v>41571</v>
      </c>
      <c r="D27" s="136" t="s">
        <v>361</v>
      </c>
      <c r="E27" s="147" t="s">
        <v>845</v>
      </c>
      <c r="F27" s="146" t="s">
        <v>711</v>
      </c>
      <c r="G27" s="148" t="s">
        <v>846</v>
      </c>
      <c r="H27" s="146">
        <v>1.07</v>
      </c>
      <c r="I27" s="145">
        <v>0.50737268518518519</v>
      </c>
      <c r="J27" s="146">
        <v>1.07</v>
      </c>
      <c r="K27" s="136"/>
      <c r="L27" s="102"/>
    </row>
    <row r="28" spans="1:12" ht="15.75" x14ac:dyDescent="0.25">
      <c r="A28" s="136">
        <v>25</v>
      </c>
      <c r="B28" s="136">
        <v>3</v>
      </c>
      <c r="C28" s="142">
        <v>41572</v>
      </c>
      <c r="D28" s="136" t="s">
        <v>363</v>
      </c>
      <c r="E28" s="143" t="s">
        <v>847</v>
      </c>
      <c r="F28" s="136" t="s">
        <v>711</v>
      </c>
      <c r="G28" s="144" t="s">
        <v>848</v>
      </c>
      <c r="H28" s="146">
        <v>2.04</v>
      </c>
      <c r="I28" s="145">
        <v>0.51041666666666663</v>
      </c>
      <c r="J28" s="146">
        <v>2.85</v>
      </c>
      <c r="K28" s="136" t="s">
        <v>849</v>
      </c>
      <c r="L28" s="102"/>
    </row>
    <row r="29" spans="1:12" ht="15.75" x14ac:dyDescent="0.25">
      <c r="A29" s="102"/>
      <c r="B29" s="102"/>
      <c r="C29" s="102"/>
      <c r="D29" s="102"/>
      <c r="E29" s="102"/>
      <c r="F29" s="102"/>
      <c r="G29" s="102"/>
      <c r="H29" s="102"/>
      <c r="I29" s="102"/>
      <c r="J29" s="102"/>
      <c r="K29" s="102"/>
      <c r="L29" s="102"/>
    </row>
    <row r="30" spans="1:12" ht="15.75" x14ac:dyDescent="0.25">
      <c r="A30" s="102"/>
      <c r="B30" s="102"/>
      <c r="C30" s="102"/>
      <c r="D30" s="102"/>
      <c r="E30" s="102"/>
      <c r="F30" s="102"/>
      <c r="G30" s="102"/>
      <c r="H30" s="102"/>
      <c r="I30" s="102"/>
      <c r="J30" s="102"/>
      <c r="K30" s="102"/>
      <c r="L30" s="102"/>
    </row>
    <row r="31" spans="1:12" ht="15.75" x14ac:dyDescent="0.25">
      <c r="A31" s="149"/>
      <c r="B31" s="149"/>
      <c r="C31" s="149"/>
      <c r="D31" s="149"/>
      <c r="E31" s="149"/>
      <c r="F31" s="149"/>
      <c r="G31" s="149"/>
      <c r="H31" s="149"/>
      <c r="I31" s="149"/>
      <c r="J31" s="149"/>
      <c r="K31" s="102"/>
      <c r="L31" s="102"/>
    </row>
    <row r="32" spans="1:12" ht="15.75" x14ac:dyDescent="0.25">
      <c r="A32" s="149"/>
      <c r="B32" s="149"/>
      <c r="C32" s="135"/>
      <c r="D32" s="135"/>
      <c r="E32" s="149"/>
      <c r="F32" s="149"/>
      <c r="G32" s="149"/>
      <c r="H32" s="149"/>
      <c r="I32" s="149"/>
      <c r="J32" s="149"/>
      <c r="K32" s="102"/>
      <c r="L32" s="102"/>
    </row>
    <row r="33" spans="1:12" ht="15.75" x14ac:dyDescent="0.25">
      <c r="A33" s="149"/>
      <c r="B33" s="149"/>
      <c r="C33" s="139"/>
      <c r="D33" s="139"/>
      <c r="E33" s="139"/>
      <c r="F33" s="139"/>
      <c r="G33" s="139"/>
      <c r="H33" s="139"/>
      <c r="I33" s="149"/>
      <c r="J33" s="149"/>
      <c r="K33" s="102"/>
      <c r="L33" s="102"/>
    </row>
    <row r="34" spans="1:12" x14ac:dyDescent="0.25">
      <c r="A34" s="72"/>
      <c r="B34" s="72"/>
      <c r="C34" s="72"/>
      <c r="D34" s="72"/>
      <c r="E34" s="72"/>
      <c r="F34" s="72"/>
      <c r="G34" s="72"/>
      <c r="H34" s="72"/>
      <c r="I34" s="72"/>
      <c r="J34" s="72"/>
    </row>
    <row r="35" spans="1:12" x14ac:dyDescent="0.25">
      <c r="A35" s="72"/>
      <c r="B35" s="72"/>
      <c r="C35" s="72"/>
      <c r="D35" s="72"/>
      <c r="E35" s="72"/>
      <c r="F35" s="72"/>
      <c r="G35" s="72"/>
      <c r="H35" s="72"/>
      <c r="I35" s="72"/>
      <c r="J35" s="72"/>
    </row>
    <row r="36" spans="1:12" x14ac:dyDescent="0.25">
      <c r="A36" s="72"/>
      <c r="B36" s="72"/>
      <c r="C36" s="72"/>
      <c r="D36" s="72"/>
      <c r="E36" s="72"/>
      <c r="F36" s="72"/>
      <c r="G36" s="72"/>
      <c r="H36" s="72"/>
      <c r="I36" s="72"/>
      <c r="J36" s="72"/>
    </row>
    <row r="37" spans="1:12" x14ac:dyDescent="0.25">
      <c r="A37" s="72"/>
      <c r="B37" s="72"/>
      <c r="C37" s="72"/>
      <c r="D37" s="72"/>
      <c r="E37" s="72"/>
      <c r="F37" s="72"/>
      <c r="G37" s="72"/>
      <c r="H37" s="72"/>
      <c r="I37" s="72"/>
      <c r="J37" s="72"/>
    </row>
    <row r="38" spans="1:12" x14ac:dyDescent="0.25">
      <c r="A38" s="72"/>
      <c r="B38" s="72"/>
      <c r="C38" s="72"/>
      <c r="D38" s="72"/>
      <c r="E38" s="72"/>
      <c r="F38" s="72"/>
      <c r="G38" s="72"/>
      <c r="H38" s="72"/>
      <c r="I38" s="72"/>
      <c r="J38" s="72"/>
    </row>
    <row r="39" spans="1:12" x14ac:dyDescent="0.25">
      <c r="A39" s="72"/>
      <c r="B39" s="72"/>
      <c r="C39" s="72"/>
      <c r="D39" s="72"/>
      <c r="E39" s="72"/>
      <c r="F39" s="72"/>
      <c r="G39" s="72"/>
      <c r="H39" s="72"/>
      <c r="I39" s="72"/>
      <c r="J39" s="72"/>
    </row>
    <row r="40" spans="1:12" x14ac:dyDescent="0.25">
      <c r="A40" s="72"/>
      <c r="B40" s="72"/>
      <c r="C40" s="72"/>
      <c r="D40" s="72"/>
      <c r="E40" s="72"/>
      <c r="F40" s="72"/>
      <c r="G40" s="72"/>
      <c r="H40" s="72"/>
      <c r="I40" s="72"/>
      <c r="J40" s="72"/>
    </row>
    <row r="41" spans="1:12" x14ac:dyDescent="0.25">
      <c r="A41" s="72"/>
      <c r="B41" s="72"/>
      <c r="C41" s="72"/>
      <c r="D41" s="72"/>
      <c r="E41" s="72"/>
      <c r="F41" s="72"/>
      <c r="G41" s="72"/>
      <c r="H41" s="72"/>
      <c r="I41" s="72"/>
      <c r="J41" s="7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3CA9A-7D6A-4439-99C4-3E4D3F79AEEF}">
  <dimension ref="A1:M23"/>
  <sheetViews>
    <sheetView workbookViewId="0">
      <selection activeCell="D9" sqref="D9"/>
    </sheetView>
  </sheetViews>
  <sheetFormatPr defaultRowHeight="15" x14ac:dyDescent="0.25"/>
  <cols>
    <col min="1" max="2" width="9.28515625" bestFit="1" customWidth="1"/>
    <col min="3" max="3" width="11.28515625" bestFit="1" customWidth="1"/>
    <col min="5" max="5" width="13.85546875" customWidth="1"/>
    <col min="8" max="8" width="22.42578125" bestFit="1" customWidth="1"/>
    <col min="9" max="9" width="11" bestFit="1" customWidth="1"/>
    <col min="10" max="10" width="10.140625" bestFit="1" customWidth="1"/>
    <col min="11" max="11" width="13.28515625" bestFit="1" customWidth="1"/>
    <col min="12" max="12" width="10.28515625" bestFit="1" customWidth="1"/>
    <col min="13" max="13" width="80" bestFit="1" customWidth="1"/>
  </cols>
  <sheetData>
    <row r="1" spans="1:13" ht="15.75" x14ac:dyDescent="0.25">
      <c r="A1" s="48" t="s">
        <v>1089</v>
      </c>
      <c r="B1" s="48"/>
      <c r="C1" s="44"/>
      <c r="D1" s="44"/>
      <c r="E1" s="44"/>
      <c r="F1" s="44"/>
      <c r="G1" s="44"/>
      <c r="H1" s="44"/>
      <c r="I1" s="102"/>
      <c r="J1" s="102"/>
      <c r="K1" s="102"/>
      <c r="L1" s="102"/>
      <c r="M1" s="102"/>
    </row>
    <row r="2" spans="1:13" ht="15.75" x14ac:dyDescent="0.25">
      <c r="A2" s="49" t="s">
        <v>1</v>
      </c>
      <c r="B2" s="49"/>
      <c r="C2" s="44"/>
      <c r="D2" s="44"/>
      <c r="E2" s="44" t="s">
        <v>2</v>
      </c>
      <c r="F2" s="44"/>
      <c r="G2" s="44"/>
      <c r="H2" s="44" t="s">
        <v>3</v>
      </c>
      <c r="I2" s="102"/>
      <c r="J2" s="102"/>
      <c r="K2" s="102"/>
      <c r="L2" s="102"/>
      <c r="M2" s="102"/>
    </row>
    <row r="3" spans="1:13" ht="31.5" x14ac:dyDescent="0.25">
      <c r="A3" s="85" t="s">
        <v>4</v>
      </c>
      <c r="B3" s="85" t="s">
        <v>601</v>
      </c>
      <c r="C3" s="86" t="s">
        <v>5</v>
      </c>
      <c r="D3" s="85" t="s">
        <v>351</v>
      </c>
      <c r="E3" s="85" t="s">
        <v>1140</v>
      </c>
      <c r="F3" s="85" t="s">
        <v>850</v>
      </c>
      <c r="G3" s="85" t="s">
        <v>851</v>
      </c>
      <c r="H3" s="85" t="s">
        <v>708</v>
      </c>
      <c r="I3" s="87" t="s">
        <v>768</v>
      </c>
      <c r="J3" s="85" t="s">
        <v>769</v>
      </c>
      <c r="K3" s="85" t="s">
        <v>605</v>
      </c>
      <c r="L3" s="85" t="s">
        <v>606</v>
      </c>
      <c r="M3" s="88" t="s">
        <v>709</v>
      </c>
    </row>
    <row r="4" spans="1:13" ht="15.75" x14ac:dyDescent="0.25">
      <c r="A4" s="102">
        <v>1</v>
      </c>
      <c r="B4" s="102">
        <v>0</v>
      </c>
      <c r="C4" s="124">
        <v>41856</v>
      </c>
      <c r="D4" s="102" t="s">
        <v>366</v>
      </c>
      <c r="E4" s="102" t="s">
        <v>852</v>
      </c>
      <c r="F4" s="125" t="s">
        <v>853</v>
      </c>
      <c r="G4" s="125" t="s">
        <v>854</v>
      </c>
      <c r="H4" s="125" t="s">
        <v>759</v>
      </c>
      <c r="I4" s="125" t="s">
        <v>855</v>
      </c>
      <c r="J4" s="102">
        <v>1.83</v>
      </c>
      <c r="K4" s="102" t="s">
        <v>856</v>
      </c>
      <c r="L4" s="102">
        <v>2.5499999999999998</v>
      </c>
      <c r="M4" s="102"/>
    </row>
    <row r="5" spans="1:13" ht="15.75" x14ac:dyDescent="0.25">
      <c r="A5" s="102">
        <v>2</v>
      </c>
      <c r="B5" s="102">
        <v>1</v>
      </c>
      <c r="C5" s="124">
        <v>41904</v>
      </c>
      <c r="D5" s="102" t="s">
        <v>366</v>
      </c>
      <c r="E5" s="102" t="s">
        <v>853</v>
      </c>
      <c r="F5" s="102" t="s">
        <v>854</v>
      </c>
      <c r="G5" s="125" t="s">
        <v>857</v>
      </c>
      <c r="H5" s="125" t="s">
        <v>731</v>
      </c>
      <c r="I5" s="125" t="s">
        <v>858</v>
      </c>
      <c r="J5" s="102">
        <v>2.35</v>
      </c>
      <c r="K5" s="102" t="s">
        <v>859</v>
      </c>
      <c r="L5" s="102">
        <v>3.33</v>
      </c>
      <c r="M5" s="102"/>
    </row>
    <row r="6" spans="1:13" ht="15.75" x14ac:dyDescent="0.25">
      <c r="A6" s="102">
        <v>3</v>
      </c>
      <c r="B6" s="102">
        <v>1</v>
      </c>
      <c r="C6" s="124">
        <v>41905</v>
      </c>
      <c r="D6" s="102" t="s">
        <v>367</v>
      </c>
      <c r="E6" s="102" t="s">
        <v>852</v>
      </c>
      <c r="F6" s="102" t="s">
        <v>860</v>
      </c>
      <c r="G6" s="125" t="s">
        <v>853</v>
      </c>
      <c r="H6" s="125" t="s">
        <v>861</v>
      </c>
      <c r="I6" s="125" t="s">
        <v>862</v>
      </c>
      <c r="J6" s="102">
        <v>1.35</v>
      </c>
      <c r="K6" s="102" t="s">
        <v>863</v>
      </c>
      <c r="L6" s="102">
        <v>1.33</v>
      </c>
      <c r="M6" s="102" t="s">
        <v>864</v>
      </c>
    </row>
    <row r="7" spans="1:13" ht="15.75" x14ac:dyDescent="0.25">
      <c r="A7" s="102">
        <v>4</v>
      </c>
      <c r="B7" s="102">
        <v>1</v>
      </c>
      <c r="C7" s="124">
        <v>41906</v>
      </c>
      <c r="D7" s="102" t="s">
        <v>365</v>
      </c>
      <c r="E7" s="102" t="s">
        <v>857</v>
      </c>
      <c r="F7" s="102" t="s">
        <v>852</v>
      </c>
      <c r="G7" s="125" t="s">
        <v>865</v>
      </c>
      <c r="H7" s="125" t="s">
        <v>861</v>
      </c>
      <c r="I7" s="125" t="s">
        <v>866</v>
      </c>
      <c r="J7" s="102">
        <v>3.72</v>
      </c>
      <c r="K7" s="102" t="s">
        <v>867</v>
      </c>
      <c r="L7" s="102">
        <v>2.62</v>
      </c>
      <c r="M7" s="102"/>
    </row>
    <row r="8" spans="1:13" ht="15.75" x14ac:dyDescent="0.25">
      <c r="A8" s="102">
        <v>5</v>
      </c>
      <c r="B8" s="102">
        <v>1</v>
      </c>
      <c r="C8" s="124">
        <v>41906</v>
      </c>
      <c r="D8" s="102" t="s">
        <v>360</v>
      </c>
      <c r="E8" s="102" t="s">
        <v>854</v>
      </c>
      <c r="F8" s="102" t="s">
        <v>853</v>
      </c>
      <c r="G8" s="125" t="s">
        <v>868</v>
      </c>
      <c r="H8" s="125" t="s">
        <v>861</v>
      </c>
      <c r="I8" s="125" t="s">
        <v>869</v>
      </c>
      <c r="J8" s="102">
        <v>3.66</v>
      </c>
      <c r="K8" s="102" t="s">
        <v>870</v>
      </c>
      <c r="L8" s="102">
        <v>2.85</v>
      </c>
      <c r="M8" s="102"/>
    </row>
    <row r="9" spans="1:13" ht="15.75" x14ac:dyDescent="0.25">
      <c r="A9" s="102">
        <v>6</v>
      </c>
      <c r="B9" s="102">
        <v>1</v>
      </c>
      <c r="C9" s="124">
        <v>41907</v>
      </c>
      <c r="D9" s="102" t="s">
        <v>361</v>
      </c>
      <c r="E9" s="102" t="s">
        <v>865</v>
      </c>
      <c r="F9" s="102" t="s">
        <v>854</v>
      </c>
      <c r="G9" s="125" t="s">
        <v>852</v>
      </c>
      <c r="H9" s="125" t="s">
        <v>759</v>
      </c>
      <c r="I9" s="125" t="s">
        <v>871</v>
      </c>
      <c r="J9" s="102">
        <v>4.71</v>
      </c>
      <c r="K9" s="102" t="s">
        <v>872</v>
      </c>
      <c r="L9" s="102">
        <v>2.78</v>
      </c>
      <c r="M9" s="102" t="s">
        <v>873</v>
      </c>
    </row>
    <row r="10" spans="1:13" ht="15.75" x14ac:dyDescent="0.25">
      <c r="A10" s="102">
        <v>7</v>
      </c>
      <c r="B10" s="102">
        <v>2</v>
      </c>
      <c r="C10" s="124">
        <v>41918</v>
      </c>
      <c r="D10" s="102" t="s">
        <v>366</v>
      </c>
      <c r="E10" s="102" t="s">
        <v>857</v>
      </c>
      <c r="F10" s="102" t="s">
        <v>854</v>
      </c>
      <c r="G10" s="125" t="s">
        <v>853</v>
      </c>
      <c r="H10" s="125" t="s">
        <v>861</v>
      </c>
      <c r="I10" s="125" t="s">
        <v>874</v>
      </c>
      <c r="J10" s="102">
        <v>2.44</v>
      </c>
      <c r="K10" s="102" t="s">
        <v>875</v>
      </c>
      <c r="L10" s="102">
        <v>5.66</v>
      </c>
      <c r="M10" s="102"/>
    </row>
    <row r="11" spans="1:13" ht="15.75" x14ac:dyDescent="0.25">
      <c r="A11" s="102">
        <v>8</v>
      </c>
      <c r="B11" s="102">
        <v>2</v>
      </c>
      <c r="C11" s="124">
        <v>41918</v>
      </c>
      <c r="D11" s="102" t="s">
        <v>367</v>
      </c>
      <c r="E11" s="102" t="s">
        <v>865</v>
      </c>
      <c r="F11" s="102" t="s">
        <v>860</v>
      </c>
      <c r="G11" s="125" t="s">
        <v>876</v>
      </c>
      <c r="H11" s="125" t="s">
        <v>861</v>
      </c>
      <c r="I11" s="125" t="s">
        <v>877</v>
      </c>
      <c r="J11" s="102">
        <v>2.52</v>
      </c>
      <c r="K11" s="125" t="s">
        <v>878</v>
      </c>
      <c r="L11" s="102">
        <v>3.38</v>
      </c>
      <c r="M11" s="102" t="s">
        <v>879</v>
      </c>
    </row>
    <row r="12" spans="1:13" ht="15.75" x14ac:dyDescent="0.25">
      <c r="A12" s="102">
        <v>9</v>
      </c>
      <c r="B12" s="102">
        <v>2</v>
      </c>
      <c r="C12" s="124">
        <v>41919</v>
      </c>
      <c r="D12" s="102" t="s">
        <v>365</v>
      </c>
      <c r="E12" s="102" t="s">
        <v>857</v>
      </c>
      <c r="F12" s="102" t="s">
        <v>880</v>
      </c>
      <c r="G12" s="125" t="s">
        <v>853</v>
      </c>
      <c r="H12" s="125" t="s">
        <v>861</v>
      </c>
      <c r="I12" s="125" t="s">
        <v>881</v>
      </c>
      <c r="J12" s="102">
        <v>2.61</v>
      </c>
      <c r="K12" s="102" t="s">
        <v>882</v>
      </c>
      <c r="L12" s="102">
        <v>2.2799999999999998</v>
      </c>
      <c r="M12" s="102" t="s">
        <v>879</v>
      </c>
    </row>
    <row r="13" spans="1:13" ht="15.75" x14ac:dyDescent="0.25">
      <c r="A13" s="102">
        <v>10</v>
      </c>
      <c r="B13" s="102">
        <v>2</v>
      </c>
      <c r="C13" s="124">
        <v>41920</v>
      </c>
      <c r="D13" s="102" t="s">
        <v>360</v>
      </c>
      <c r="E13" s="102" t="s">
        <v>865</v>
      </c>
      <c r="F13" s="102" t="s">
        <v>853</v>
      </c>
      <c r="G13" s="125" t="s">
        <v>883</v>
      </c>
      <c r="H13" s="125" t="s">
        <v>861</v>
      </c>
      <c r="I13" s="125" t="s">
        <v>884</v>
      </c>
      <c r="J13" s="102">
        <v>1.75</v>
      </c>
      <c r="K13" s="102" t="s">
        <v>885</v>
      </c>
      <c r="L13" s="102">
        <v>2.21</v>
      </c>
      <c r="M13" s="102" t="s">
        <v>879</v>
      </c>
    </row>
    <row r="14" spans="1:13" ht="15.75" x14ac:dyDescent="0.25">
      <c r="A14" s="102">
        <v>11</v>
      </c>
      <c r="B14" s="102">
        <v>2</v>
      </c>
      <c r="C14" s="124">
        <v>41921</v>
      </c>
      <c r="D14" s="102" t="s">
        <v>361</v>
      </c>
      <c r="E14" s="102" t="s">
        <v>865</v>
      </c>
      <c r="F14" s="102" t="s">
        <v>854</v>
      </c>
      <c r="G14" s="125" t="s">
        <v>852</v>
      </c>
      <c r="H14" s="125" t="s">
        <v>861</v>
      </c>
      <c r="I14" s="125" t="s">
        <v>886</v>
      </c>
      <c r="J14" s="102">
        <v>1.64</v>
      </c>
      <c r="K14" s="102" t="s">
        <v>887</v>
      </c>
      <c r="L14" s="102">
        <v>1.65</v>
      </c>
      <c r="M14" s="102"/>
    </row>
    <row r="15" spans="1:13" ht="15.75" x14ac:dyDescent="0.25">
      <c r="A15" s="102">
        <v>12</v>
      </c>
      <c r="B15" s="102">
        <v>2</v>
      </c>
      <c r="C15" s="124">
        <v>41921</v>
      </c>
      <c r="D15" s="102" t="s">
        <v>363</v>
      </c>
      <c r="E15" s="102" t="s">
        <v>853</v>
      </c>
      <c r="F15" s="102" t="s">
        <v>857</v>
      </c>
      <c r="G15" s="125" t="s">
        <v>888</v>
      </c>
      <c r="H15" s="125" t="s">
        <v>861</v>
      </c>
      <c r="I15" s="125" t="s">
        <v>889</v>
      </c>
      <c r="J15" s="102">
        <v>2.89</v>
      </c>
      <c r="K15" s="102" t="s">
        <v>890</v>
      </c>
      <c r="L15" s="102">
        <v>1.69</v>
      </c>
      <c r="M15" s="102"/>
    </row>
    <row r="16" spans="1:13" ht="15.75" x14ac:dyDescent="0.25">
      <c r="A16" s="102">
        <v>13</v>
      </c>
      <c r="B16" s="102">
        <v>3</v>
      </c>
      <c r="C16" s="124">
        <v>41932</v>
      </c>
      <c r="D16" s="102" t="s">
        <v>366</v>
      </c>
      <c r="E16" s="102" t="s">
        <v>857</v>
      </c>
      <c r="F16" s="102" t="s">
        <v>854</v>
      </c>
      <c r="G16" s="125" t="s">
        <v>853</v>
      </c>
      <c r="H16" s="125" t="s">
        <v>759</v>
      </c>
      <c r="I16" s="125" t="s">
        <v>891</v>
      </c>
      <c r="J16" s="102">
        <v>2.04</v>
      </c>
      <c r="K16" s="102" t="s">
        <v>892</v>
      </c>
      <c r="L16" s="102">
        <v>6.23</v>
      </c>
      <c r="M16" s="102" t="s">
        <v>893</v>
      </c>
    </row>
    <row r="17" spans="1:13" ht="15.75" x14ac:dyDescent="0.25">
      <c r="A17" s="102">
        <v>14</v>
      </c>
      <c r="B17" s="102">
        <v>3</v>
      </c>
      <c r="C17" s="124">
        <v>41933</v>
      </c>
      <c r="D17" s="102" t="s">
        <v>367</v>
      </c>
      <c r="E17" s="102" t="s">
        <v>853</v>
      </c>
      <c r="F17" s="102" t="s">
        <v>876</v>
      </c>
      <c r="G17" s="125" t="s">
        <v>854</v>
      </c>
      <c r="H17" s="125" t="s">
        <v>731</v>
      </c>
      <c r="I17" s="125" t="s">
        <v>894</v>
      </c>
      <c r="J17" s="102">
        <v>2.21</v>
      </c>
      <c r="K17" s="102" t="s">
        <v>895</v>
      </c>
      <c r="L17" s="102">
        <v>2.2599999999999998</v>
      </c>
      <c r="M17" s="102"/>
    </row>
    <row r="18" spans="1:13" ht="15.75" x14ac:dyDescent="0.25">
      <c r="A18" s="102">
        <v>15</v>
      </c>
      <c r="B18" s="102">
        <v>3</v>
      </c>
      <c r="C18" s="124">
        <v>41932</v>
      </c>
      <c r="D18" s="102" t="s">
        <v>365</v>
      </c>
      <c r="E18" s="102" t="s">
        <v>876</v>
      </c>
      <c r="F18" s="102" t="s">
        <v>880</v>
      </c>
      <c r="G18" s="125" t="s">
        <v>860</v>
      </c>
      <c r="H18" s="125" t="s">
        <v>759</v>
      </c>
      <c r="I18" s="125" t="s">
        <v>896</v>
      </c>
      <c r="J18" s="102">
        <v>3.08</v>
      </c>
      <c r="K18" s="102" t="s">
        <v>897</v>
      </c>
      <c r="L18" s="102">
        <v>3.1</v>
      </c>
      <c r="M18" s="125" t="s">
        <v>898</v>
      </c>
    </row>
    <row r="19" spans="1:13" ht="15.75" x14ac:dyDescent="0.25">
      <c r="A19" s="102">
        <v>16</v>
      </c>
      <c r="B19" s="102">
        <v>3</v>
      </c>
      <c r="C19" s="124">
        <v>41934</v>
      </c>
      <c r="D19" s="102" t="s">
        <v>360</v>
      </c>
      <c r="E19" s="102" t="s">
        <v>852</v>
      </c>
      <c r="F19" s="102" t="s">
        <v>853</v>
      </c>
      <c r="G19" s="125" t="s">
        <v>865</v>
      </c>
      <c r="H19" s="125" t="s">
        <v>722</v>
      </c>
      <c r="I19" s="125" t="s">
        <v>899</v>
      </c>
      <c r="J19" s="102">
        <v>2.57</v>
      </c>
      <c r="K19" s="102" t="s">
        <v>900</v>
      </c>
      <c r="L19" s="102">
        <v>1.52</v>
      </c>
      <c r="M19" s="102"/>
    </row>
    <row r="20" spans="1:13" ht="15.75" x14ac:dyDescent="0.25">
      <c r="A20" s="102">
        <v>17</v>
      </c>
      <c r="B20" s="102">
        <v>3</v>
      </c>
      <c r="C20" s="124">
        <v>41935</v>
      </c>
      <c r="D20" s="102" t="s">
        <v>361</v>
      </c>
      <c r="E20" s="102" t="s">
        <v>865</v>
      </c>
      <c r="F20" s="102" t="s">
        <v>852</v>
      </c>
      <c r="G20" s="125" t="s">
        <v>883</v>
      </c>
      <c r="H20" s="125" t="s">
        <v>759</v>
      </c>
      <c r="I20" s="125" t="s">
        <v>901</v>
      </c>
      <c r="J20" s="102">
        <v>2.4300000000000002</v>
      </c>
      <c r="K20" s="102" t="s">
        <v>902</v>
      </c>
      <c r="L20" s="102">
        <v>2.12</v>
      </c>
      <c r="M20" s="102"/>
    </row>
    <row r="21" spans="1:13" ht="15.75" x14ac:dyDescent="0.25">
      <c r="A21" s="102">
        <v>18</v>
      </c>
      <c r="B21" s="102">
        <v>3</v>
      </c>
      <c r="C21" s="124">
        <v>41936</v>
      </c>
      <c r="D21" s="102" t="s">
        <v>363</v>
      </c>
      <c r="E21" s="102" t="s">
        <v>865</v>
      </c>
      <c r="F21" s="102" t="s">
        <v>852</v>
      </c>
      <c r="G21" s="125" t="s">
        <v>888</v>
      </c>
      <c r="H21" s="125" t="s">
        <v>861</v>
      </c>
      <c r="I21" s="125" t="s">
        <v>903</v>
      </c>
      <c r="J21" s="102">
        <v>1.88</v>
      </c>
      <c r="K21" s="102" t="s">
        <v>904</v>
      </c>
      <c r="L21" s="102">
        <v>2.14</v>
      </c>
      <c r="M21" s="102"/>
    </row>
    <row r="22" spans="1:13" ht="15.75" x14ac:dyDescent="0.25">
      <c r="A22" s="102"/>
      <c r="B22" s="102"/>
      <c r="C22" s="102"/>
      <c r="D22" s="102"/>
      <c r="E22" s="102"/>
      <c r="F22" s="102"/>
      <c r="G22" s="102"/>
      <c r="H22" s="102"/>
      <c r="I22" s="102"/>
      <c r="J22" s="102"/>
      <c r="K22" s="102"/>
      <c r="L22" s="102"/>
      <c r="M22" s="102"/>
    </row>
    <row r="23" spans="1:13" ht="15.75" x14ac:dyDescent="0.25">
      <c r="A23" s="102"/>
      <c r="B23" s="102"/>
      <c r="C23" s="102"/>
      <c r="D23" s="102"/>
      <c r="E23" s="102"/>
      <c r="F23" s="102"/>
      <c r="G23" s="102"/>
      <c r="H23" s="102"/>
      <c r="I23" s="102"/>
      <c r="J23" s="102"/>
      <c r="K23" s="102"/>
      <c r="L23" s="102"/>
      <c r="M23" s="102"/>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BDB4B-4223-4E32-9F50-E4DE42AAA5DB}">
  <dimension ref="A1:M23"/>
  <sheetViews>
    <sheetView workbookViewId="0">
      <selection activeCell="D20" sqref="D20"/>
    </sheetView>
  </sheetViews>
  <sheetFormatPr defaultRowHeight="15" x14ac:dyDescent="0.25"/>
  <cols>
    <col min="1" max="2" width="9.42578125" bestFit="1" customWidth="1"/>
    <col min="3" max="3" width="14" customWidth="1"/>
    <col min="6" max="6" width="13.5703125" bestFit="1" customWidth="1"/>
    <col min="7" max="7" width="12.28515625" bestFit="1" customWidth="1"/>
    <col min="8" max="8" width="22.42578125" bestFit="1" customWidth="1"/>
    <col min="9" max="9" width="11.7109375" bestFit="1" customWidth="1"/>
    <col min="10" max="10" width="10.28515625" bestFit="1" customWidth="1"/>
    <col min="11" max="11" width="12.85546875" bestFit="1" customWidth="1"/>
    <col min="12" max="12" width="10.42578125" bestFit="1" customWidth="1"/>
    <col min="13" max="13" width="26.85546875" bestFit="1" customWidth="1"/>
  </cols>
  <sheetData>
    <row r="1" spans="1:13" ht="15.75" x14ac:dyDescent="0.25">
      <c r="A1" s="48" t="s">
        <v>1088</v>
      </c>
      <c r="B1" s="48"/>
      <c r="C1" s="44"/>
      <c r="D1" s="44"/>
      <c r="E1" s="44"/>
      <c r="F1" s="44"/>
      <c r="G1" s="44"/>
      <c r="H1" s="44"/>
      <c r="I1" s="102"/>
      <c r="J1" s="102"/>
      <c r="K1" s="102"/>
      <c r="L1" s="102"/>
      <c r="M1" s="102"/>
    </row>
    <row r="2" spans="1:13" ht="15.75" x14ac:dyDescent="0.25">
      <c r="A2" s="49" t="s">
        <v>1</v>
      </c>
      <c r="B2" s="49"/>
      <c r="C2" s="44"/>
      <c r="D2" s="44"/>
      <c r="E2" s="44" t="s">
        <v>2</v>
      </c>
      <c r="F2" s="44"/>
      <c r="G2" s="44"/>
      <c r="H2" s="44" t="s">
        <v>3</v>
      </c>
      <c r="I2" s="102"/>
      <c r="J2" s="102"/>
      <c r="K2" s="102"/>
      <c r="L2" s="102"/>
      <c r="M2" s="102"/>
    </row>
    <row r="3" spans="1:13" ht="15.75" x14ac:dyDescent="0.25">
      <c r="A3" s="85" t="s">
        <v>4</v>
      </c>
      <c r="B3" s="85" t="s">
        <v>601</v>
      </c>
      <c r="C3" s="86" t="s">
        <v>5</v>
      </c>
      <c r="D3" s="85" t="s">
        <v>351</v>
      </c>
      <c r="E3" s="85" t="s">
        <v>1140</v>
      </c>
      <c r="F3" s="85" t="s">
        <v>850</v>
      </c>
      <c r="G3" s="85" t="s">
        <v>851</v>
      </c>
      <c r="H3" s="85" t="s">
        <v>708</v>
      </c>
      <c r="I3" s="87" t="s">
        <v>768</v>
      </c>
      <c r="J3" s="85" t="s">
        <v>769</v>
      </c>
      <c r="K3" s="85" t="s">
        <v>605</v>
      </c>
      <c r="L3" s="85" t="s">
        <v>606</v>
      </c>
      <c r="M3" s="88" t="s">
        <v>709</v>
      </c>
    </row>
    <row r="4" spans="1:13" ht="15.75" x14ac:dyDescent="0.25">
      <c r="A4" s="102">
        <v>1</v>
      </c>
      <c r="B4" s="102">
        <v>1</v>
      </c>
      <c r="C4" s="124">
        <v>42271</v>
      </c>
      <c r="D4" s="102" t="s">
        <v>363</v>
      </c>
      <c r="E4" s="102" t="s">
        <v>905</v>
      </c>
      <c r="F4" s="102" t="s">
        <v>906</v>
      </c>
      <c r="G4" s="125" t="s">
        <v>907</v>
      </c>
      <c r="H4" s="125" t="s">
        <v>731</v>
      </c>
      <c r="I4" s="129">
        <v>0.3859143518518518</v>
      </c>
      <c r="J4" s="102">
        <v>1.68</v>
      </c>
      <c r="K4" s="131">
        <v>0.55302083333333341</v>
      </c>
      <c r="L4" s="102">
        <v>1.46</v>
      </c>
      <c r="M4" s="102"/>
    </row>
    <row r="5" spans="1:13" ht="15.75" x14ac:dyDescent="0.25">
      <c r="A5" s="102">
        <v>2</v>
      </c>
      <c r="B5" s="102">
        <v>1</v>
      </c>
      <c r="C5" s="124">
        <v>42271</v>
      </c>
      <c r="D5" s="102" t="s">
        <v>361</v>
      </c>
      <c r="E5" s="102" t="s">
        <v>865</v>
      </c>
      <c r="F5" s="102" t="s">
        <v>854</v>
      </c>
      <c r="G5" s="125" t="s">
        <v>857</v>
      </c>
      <c r="H5" s="125" t="s">
        <v>731</v>
      </c>
      <c r="I5" s="129">
        <v>0.36829861111111112</v>
      </c>
      <c r="J5" s="38">
        <v>2.11</v>
      </c>
      <c r="K5" s="132">
        <v>0.46527777777777773</v>
      </c>
      <c r="L5" s="102">
        <v>2.17</v>
      </c>
      <c r="M5" s="102"/>
    </row>
    <row r="6" spans="1:13" ht="15.75" x14ac:dyDescent="0.25">
      <c r="A6" s="102">
        <v>3</v>
      </c>
      <c r="B6" s="102">
        <v>1</v>
      </c>
      <c r="C6" s="124">
        <v>42270</v>
      </c>
      <c r="D6" s="102" t="s">
        <v>360</v>
      </c>
      <c r="E6" s="102" t="s">
        <v>865</v>
      </c>
      <c r="F6" s="102" t="s">
        <v>854</v>
      </c>
      <c r="G6" s="125" t="s">
        <v>857</v>
      </c>
      <c r="H6" s="125" t="s">
        <v>861</v>
      </c>
      <c r="I6" s="129">
        <v>0.40738425925925931</v>
      </c>
      <c r="J6" s="38">
        <v>2.78</v>
      </c>
      <c r="K6" s="130">
        <v>0.53317129629629634</v>
      </c>
      <c r="L6" s="102">
        <v>1.52</v>
      </c>
      <c r="M6" s="102"/>
    </row>
    <row r="7" spans="1:13" ht="15.75" x14ac:dyDescent="0.25">
      <c r="A7" s="102">
        <v>4</v>
      </c>
      <c r="B7" s="102">
        <v>1</v>
      </c>
      <c r="C7" s="124">
        <v>42270</v>
      </c>
      <c r="D7" s="102" t="s">
        <v>365</v>
      </c>
      <c r="E7" s="102" t="s">
        <v>905</v>
      </c>
      <c r="F7" s="102" t="s">
        <v>907</v>
      </c>
      <c r="G7" s="125" t="s">
        <v>906</v>
      </c>
      <c r="H7" s="125" t="s">
        <v>861</v>
      </c>
      <c r="I7" s="129">
        <v>0.37113425925925925</v>
      </c>
      <c r="J7" s="38">
        <v>2.1800000000000002</v>
      </c>
      <c r="K7" s="130">
        <v>0.55787037037037035</v>
      </c>
      <c r="L7" s="102">
        <v>1.98</v>
      </c>
      <c r="M7" s="102"/>
    </row>
    <row r="8" spans="1:13" ht="15.75" x14ac:dyDescent="0.25">
      <c r="A8" s="102">
        <v>5</v>
      </c>
      <c r="B8" s="102">
        <v>1</v>
      </c>
      <c r="C8" s="124">
        <v>42269</v>
      </c>
      <c r="D8" s="102" t="s">
        <v>367</v>
      </c>
      <c r="E8" s="102" t="s">
        <v>857</v>
      </c>
      <c r="F8" s="102" t="s">
        <v>905</v>
      </c>
      <c r="G8" s="125" t="s">
        <v>860</v>
      </c>
      <c r="H8" s="125" t="s">
        <v>861</v>
      </c>
      <c r="I8" s="129">
        <v>0.38665509259259262</v>
      </c>
      <c r="J8" s="38">
        <v>2.6</v>
      </c>
      <c r="K8" s="130">
        <v>0.57870370370370372</v>
      </c>
      <c r="L8" s="102">
        <v>2.88</v>
      </c>
      <c r="M8" s="102"/>
    </row>
    <row r="9" spans="1:13" ht="15.75" x14ac:dyDescent="0.25">
      <c r="A9" s="102">
        <v>6</v>
      </c>
      <c r="B9" s="102">
        <v>1</v>
      </c>
      <c r="C9" s="124">
        <v>42268</v>
      </c>
      <c r="D9" s="102" t="s">
        <v>366</v>
      </c>
      <c r="E9" s="102" t="s">
        <v>865</v>
      </c>
      <c r="F9" s="102" t="s">
        <v>854</v>
      </c>
      <c r="G9" s="125" t="s">
        <v>905</v>
      </c>
      <c r="H9" s="125" t="s">
        <v>861</v>
      </c>
      <c r="I9" s="129">
        <v>0.35833333333333334</v>
      </c>
      <c r="J9" s="38">
        <v>1.56</v>
      </c>
      <c r="K9" s="130">
        <v>0.48349537037037038</v>
      </c>
      <c r="L9" s="102">
        <v>2.31</v>
      </c>
      <c r="M9" s="102"/>
    </row>
    <row r="10" spans="1:13" ht="15.75" x14ac:dyDescent="0.25">
      <c r="A10" s="102">
        <v>7</v>
      </c>
      <c r="B10" s="102">
        <v>2</v>
      </c>
      <c r="C10" s="124">
        <v>42285</v>
      </c>
      <c r="D10" s="102" t="s">
        <v>363</v>
      </c>
      <c r="E10" s="102" t="s">
        <v>906</v>
      </c>
      <c r="F10" s="102" t="s">
        <v>907</v>
      </c>
      <c r="G10" s="125" t="s">
        <v>888</v>
      </c>
      <c r="H10" s="125" t="s">
        <v>731</v>
      </c>
      <c r="I10" s="129">
        <v>0.3737847222222222</v>
      </c>
      <c r="J10" s="38">
        <v>2.0299999999999998</v>
      </c>
      <c r="K10" s="130">
        <v>0.54070601851851852</v>
      </c>
      <c r="L10" s="102">
        <v>1.27</v>
      </c>
      <c r="M10" s="102"/>
    </row>
    <row r="11" spans="1:13" ht="15.75" x14ac:dyDescent="0.25">
      <c r="A11" s="102">
        <v>8</v>
      </c>
      <c r="B11" s="102">
        <v>2</v>
      </c>
      <c r="C11" s="124">
        <v>42285</v>
      </c>
      <c r="D11" s="102" t="s">
        <v>361</v>
      </c>
      <c r="E11" s="102" t="s">
        <v>857</v>
      </c>
      <c r="F11" s="102" t="s">
        <v>908</v>
      </c>
      <c r="G11" s="125" t="s">
        <v>905</v>
      </c>
      <c r="H11" s="125" t="s">
        <v>861</v>
      </c>
      <c r="I11" s="129">
        <v>0.35475694444444444</v>
      </c>
      <c r="J11" s="38">
        <v>2.71</v>
      </c>
      <c r="K11" s="130">
        <v>0.45266203703703706</v>
      </c>
      <c r="L11" s="102">
        <v>1.27</v>
      </c>
      <c r="M11" s="102"/>
    </row>
    <row r="12" spans="1:13" ht="15.75" x14ac:dyDescent="0.25">
      <c r="A12" s="102">
        <v>9</v>
      </c>
      <c r="B12" s="102">
        <v>2</v>
      </c>
      <c r="C12" s="124">
        <v>42284</v>
      </c>
      <c r="D12" s="102" t="s">
        <v>360</v>
      </c>
      <c r="E12" s="102" t="s">
        <v>865</v>
      </c>
      <c r="F12" s="102" t="s">
        <v>854</v>
      </c>
      <c r="G12" s="125" t="s">
        <v>907</v>
      </c>
      <c r="H12" s="125" t="s">
        <v>731</v>
      </c>
      <c r="I12" s="129">
        <v>0.33945601851851853</v>
      </c>
      <c r="J12" s="38">
        <v>1.55</v>
      </c>
      <c r="K12" s="130">
        <v>0.45572916666666669</v>
      </c>
      <c r="L12" s="102">
        <v>1.27</v>
      </c>
      <c r="M12" s="102"/>
    </row>
    <row r="13" spans="1:13" ht="15.75" x14ac:dyDescent="0.25">
      <c r="A13" s="102">
        <v>10</v>
      </c>
      <c r="B13" s="102">
        <v>2</v>
      </c>
      <c r="C13" s="124">
        <v>42283</v>
      </c>
      <c r="D13" s="102" t="s">
        <v>367</v>
      </c>
      <c r="E13" s="102" t="s">
        <v>857</v>
      </c>
      <c r="F13" s="102" t="s">
        <v>908</v>
      </c>
      <c r="G13" s="125" t="s">
        <v>905</v>
      </c>
      <c r="H13" s="125" t="s">
        <v>861</v>
      </c>
      <c r="I13" s="129">
        <v>0.35900462962962965</v>
      </c>
      <c r="J13" s="38">
        <v>1.62</v>
      </c>
      <c r="K13" s="130">
        <v>0.52978009259259262</v>
      </c>
      <c r="L13" s="102">
        <v>2.34</v>
      </c>
      <c r="M13" s="125"/>
    </row>
    <row r="14" spans="1:13" ht="15.75" x14ac:dyDescent="0.25">
      <c r="A14" s="102">
        <v>11</v>
      </c>
      <c r="B14" s="102">
        <v>2</v>
      </c>
      <c r="C14" s="124">
        <v>42282</v>
      </c>
      <c r="D14" s="102" t="s">
        <v>366</v>
      </c>
      <c r="E14" s="102" t="s">
        <v>865</v>
      </c>
      <c r="F14" s="102" t="s">
        <v>854</v>
      </c>
      <c r="G14" s="125" t="s">
        <v>905</v>
      </c>
      <c r="H14" s="125" t="s">
        <v>861</v>
      </c>
      <c r="I14" s="129">
        <v>0.36166666666666664</v>
      </c>
      <c r="J14" s="38">
        <v>1.34</v>
      </c>
      <c r="K14" s="130">
        <v>0.49625000000000002</v>
      </c>
      <c r="L14" s="102">
        <v>0.98</v>
      </c>
      <c r="M14" s="102" t="s">
        <v>909</v>
      </c>
    </row>
    <row r="15" spans="1:13" ht="15.75" x14ac:dyDescent="0.25">
      <c r="A15" s="102">
        <v>12</v>
      </c>
      <c r="B15" s="102">
        <v>3</v>
      </c>
      <c r="C15" s="124">
        <v>42297</v>
      </c>
      <c r="D15" s="102" t="s">
        <v>366</v>
      </c>
      <c r="E15" s="102" t="s">
        <v>865</v>
      </c>
      <c r="F15" s="102" t="s">
        <v>854</v>
      </c>
      <c r="G15" s="125" t="s">
        <v>907</v>
      </c>
      <c r="H15" s="125" t="s">
        <v>861</v>
      </c>
      <c r="I15" s="129">
        <v>0.36231481481481481</v>
      </c>
      <c r="J15" s="38">
        <v>3.31</v>
      </c>
      <c r="K15" s="130">
        <v>0.48710648148148145</v>
      </c>
      <c r="L15" s="102">
        <v>2.38</v>
      </c>
      <c r="M15" s="102" t="s">
        <v>910</v>
      </c>
    </row>
    <row r="16" spans="1:13" ht="15.75" x14ac:dyDescent="0.25">
      <c r="A16" s="102">
        <v>13</v>
      </c>
      <c r="B16" s="102">
        <v>3</v>
      </c>
      <c r="C16" s="124">
        <v>42297</v>
      </c>
      <c r="D16" s="102" t="s">
        <v>367</v>
      </c>
      <c r="E16" s="102" t="s">
        <v>857</v>
      </c>
      <c r="F16" s="102" t="s">
        <v>905</v>
      </c>
      <c r="G16" s="125" t="s">
        <v>880</v>
      </c>
      <c r="H16" s="125" t="s">
        <v>861</v>
      </c>
      <c r="I16" s="129">
        <v>0.40003472222222225</v>
      </c>
      <c r="J16" s="38">
        <v>1.75</v>
      </c>
      <c r="K16" s="130">
        <v>0.59520833333333334</v>
      </c>
      <c r="L16" s="102">
        <v>2.2200000000000002</v>
      </c>
      <c r="M16" s="102" t="s">
        <v>911</v>
      </c>
    </row>
    <row r="17" spans="1:13" ht="15.75" x14ac:dyDescent="0.25">
      <c r="A17" s="102">
        <v>14</v>
      </c>
      <c r="B17" s="102">
        <v>3</v>
      </c>
      <c r="C17" s="124">
        <v>42292</v>
      </c>
      <c r="D17" s="102" t="s">
        <v>361</v>
      </c>
      <c r="E17" s="102" t="s">
        <v>907</v>
      </c>
      <c r="F17" s="102" t="s">
        <v>860</v>
      </c>
      <c r="G17" s="102" t="s">
        <v>865</v>
      </c>
      <c r="H17" s="102" t="s">
        <v>861</v>
      </c>
      <c r="I17" s="129">
        <v>0.39932870370370371</v>
      </c>
      <c r="J17" s="38">
        <v>2.6</v>
      </c>
      <c r="K17" s="130">
        <v>0.56141203703703701</v>
      </c>
      <c r="L17" s="102">
        <v>2.74</v>
      </c>
      <c r="M17" s="102"/>
    </row>
    <row r="18" spans="1:13" ht="15.75" x14ac:dyDescent="0.25">
      <c r="A18" s="102">
        <v>15</v>
      </c>
      <c r="B18" s="102">
        <v>3</v>
      </c>
      <c r="C18" s="124">
        <v>42299</v>
      </c>
      <c r="D18" s="102" t="s">
        <v>363</v>
      </c>
      <c r="E18" s="102" t="s">
        <v>905</v>
      </c>
      <c r="F18" s="102" t="s">
        <v>906</v>
      </c>
      <c r="G18" s="102" t="s">
        <v>907</v>
      </c>
      <c r="H18" s="102" t="s">
        <v>861</v>
      </c>
      <c r="I18" s="129">
        <v>0.35420138888888886</v>
      </c>
      <c r="J18" s="38">
        <v>3.03</v>
      </c>
      <c r="K18" s="130">
        <v>0.47548611111111111</v>
      </c>
      <c r="L18" s="102">
        <v>1.71</v>
      </c>
      <c r="M18" s="102"/>
    </row>
    <row r="19" spans="1:13" ht="15.75" x14ac:dyDescent="0.25">
      <c r="A19" s="102">
        <v>16</v>
      </c>
      <c r="B19" s="102">
        <v>3</v>
      </c>
      <c r="C19" s="124">
        <v>42292</v>
      </c>
      <c r="D19" s="102" t="s">
        <v>360</v>
      </c>
      <c r="E19" s="102" t="s">
        <v>908</v>
      </c>
      <c r="F19" s="102" t="s">
        <v>854</v>
      </c>
      <c r="G19" s="125" t="s">
        <v>857</v>
      </c>
      <c r="H19" s="125" t="s">
        <v>861</v>
      </c>
      <c r="I19" s="129">
        <v>0.35457175925925927</v>
      </c>
      <c r="J19" s="38">
        <v>3.06</v>
      </c>
      <c r="K19" s="133">
        <v>0.47186342592592595</v>
      </c>
      <c r="L19" s="102">
        <v>2.74</v>
      </c>
      <c r="M19" s="102"/>
    </row>
    <row r="20" spans="1:13" ht="15.75" x14ac:dyDescent="0.25">
      <c r="A20" s="102">
        <v>17</v>
      </c>
      <c r="B20" s="102">
        <v>4</v>
      </c>
      <c r="C20" s="124">
        <v>42312</v>
      </c>
      <c r="D20" s="102" t="s">
        <v>367</v>
      </c>
      <c r="E20" s="102" t="s">
        <v>865</v>
      </c>
      <c r="F20" s="102" t="s">
        <v>908</v>
      </c>
      <c r="G20" s="125" t="s">
        <v>905</v>
      </c>
      <c r="H20" s="125" t="s">
        <v>861</v>
      </c>
      <c r="I20" s="129">
        <v>0.36819444444444444</v>
      </c>
      <c r="J20" s="38">
        <v>1.59</v>
      </c>
      <c r="K20" s="130">
        <v>0.50396990740740744</v>
      </c>
      <c r="L20" s="102">
        <v>1.6</v>
      </c>
      <c r="M20" s="102"/>
    </row>
    <row r="21" spans="1:13" ht="15.75" x14ac:dyDescent="0.25">
      <c r="A21" s="102"/>
      <c r="B21" s="102"/>
      <c r="C21" s="134"/>
      <c r="D21" s="135"/>
      <c r="E21" s="136"/>
      <c r="F21" s="136"/>
      <c r="G21" s="136"/>
      <c r="H21" s="136"/>
      <c r="I21" s="137"/>
      <c r="J21" s="63"/>
      <c r="K21" s="38"/>
      <c r="L21" s="102"/>
      <c r="M21" s="102"/>
    </row>
    <row r="22" spans="1:13" ht="15.75" x14ac:dyDescent="0.25">
      <c r="A22" s="102"/>
      <c r="B22" s="102"/>
      <c r="C22" s="138"/>
      <c r="D22" s="139"/>
      <c r="E22" s="139"/>
      <c r="F22" s="139"/>
      <c r="G22" s="140"/>
      <c r="H22" s="140"/>
      <c r="I22" s="140"/>
      <c r="J22" s="136"/>
      <c r="K22" s="102"/>
      <c r="L22" s="102"/>
      <c r="M22" s="102"/>
    </row>
    <row r="23" spans="1:13" ht="15.75" x14ac:dyDescent="0.25">
      <c r="A23" s="102"/>
      <c r="B23" s="102"/>
      <c r="C23" s="136"/>
      <c r="D23" s="136"/>
      <c r="E23" s="136"/>
      <c r="F23" s="136"/>
      <c r="G23" s="136"/>
      <c r="H23" s="136"/>
      <c r="I23" s="136"/>
      <c r="J23" s="136"/>
      <c r="K23" s="102"/>
      <c r="L23" s="102"/>
      <c r="M23" s="10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8E24E-4357-4D79-B8B1-A22FEEFBF5F0}">
  <dimension ref="A1:M25"/>
  <sheetViews>
    <sheetView workbookViewId="0">
      <selection activeCell="D12" sqref="D12"/>
    </sheetView>
  </sheetViews>
  <sheetFormatPr defaultRowHeight="15" x14ac:dyDescent="0.25"/>
  <cols>
    <col min="1" max="2" width="9.28515625" bestFit="1" customWidth="1"/>
    <col min="3" max="3" width="11.28515625" bestFit="1" customWidth="1"/>
    <col min="5" max="5" width="20.7109375" bestFit="1" customWidth="1"/>
    <col min="6" max="6" width="9.7109375" bestFit="1" customWidth="1"/>
    <col min="7" max="7" width="12.85546875" bestFit="1" customWidth="1"/>
    <col min="8" max="8" width="22.42578125" bestFit="1" customWidth="1"/>
    <col min="9" max="9" width="11" bestFit="1" customWidth="1"/>
    <col min="10" max="10" width="10" bestFit="1" customWidth="1"/>
    <col min="11" max="11" width="11" bestFit="1" customWidth="1"/>
    <col min="12" max="12" width="10.140625" bestFit="1" customWidth="1"/>
    <col min="13" max="13" width="20.42578125" bestFit="1" customWidth="1"/>
  </cols>
  <sheetData>
    <row r="1" spans="1:13" ht="15.75" x14ac:dyDescent="0.25">
      <c r="A1" s="48" t="s">
        <v>1087</v>
      </c>
      <c r="B1" s="48"/>
      <c r="C1" s="44"/>
      <c r="D1" s="44"/>
      <c r="E1" s="44"/>
      <c r="F1" s="44"/>
      <c r="G1" s="44"/>
      <c r="H1" s="44"/>
      <c r="I1" s="102"/>
      <c r="J1" s="102"/>
      <c r="K1" s="102"/>
      <c r="L1" s="102"/>
      <c r="M1" s="102"/>
    </row>
    <row r="2" spans="1:13" ht="15.75" x14ac:dyDescent="0.25">
      <c r="A2" s="49" t="s">
        <v>1</v>
      </c>
      <c r="B2" s="49"/>
      <c r="C2" s="44"/>
      <c r="D2" s="44"/>
      <c r="E2" s="44" t="s">
        <v>2</v>
      </c>
      <c r="F2" s="44"/>
      <c r="G2" s="44"/>
      <c r="H2" s="44" t="s">
        <v>3</v>
      </c>
      <c r="I2" s="102"/>
      <c r="J2" s="102"/>
      <c r="K2" s="102"/>
      <c r="L2" s="102"/>
      <c r="M2" s="102"/>
    </row>
    <row r="3" spans="1:13" ht="15.75" x14ac:dyDescent="0.25">
      <c r="A3" s="85" t="s">
        <v>4</v>
      </c>
      <c r="B3" s="85" t="s">
        <v>601</v>
      </c>
      <c r="C3" s="86" t="s">
        <v>5</v>
      </c>
      <c r="D3" s="85" t="s">
        <v>351</v>
      </c>
      <c r="E3" s="85" t="s">
        <v>1140</v>
      </c>
      <c r="F3" s="85" t="s">
        <v>850</v>
      </c>
      <c r="G3" s="85" t="s">
        <v>851</v>
      </c>
      <c r="H3" s="85" t="s">
        <v>708</v>
      </c>
      <c r="I3" s="87" t="s">
        <v>768</v>
      </c>
      <c r="J3" s="85" t="s">
        <v>769</v>
      </c>
      <c r="K3" s="85" t="s">
        <v>605</v>
      </c>
      <c r="L3" s="85" t="s">
        <v>606</v>
      </c>
      <c r="M3" s="88" t="s">
        <v>709</v>
      </c>
    </row>
    <row r="4" spans="1:13" ht="15.75" x14ac:dyDescent="0.25">
      <c r="A4" s="126">
        <v>1</v>
      </c>
      <c r="B4" s="126">
        <v>1</v>
      </c>
      <c r="C4" s="124">
        <v>42593</v>
      </c>
      <c r="D4" s="125" t="s">
        <v>366</v>
      </c>
      <c r="E4" s="125" t="s">
        <v>857</v>
      </c>
      <c r="F4" s="125" t="s">
        <v>907</v>
      </c>
      <c r="G4" s="125" t="s">
        <v>905</v>
      </c>
      <c r="H4" s="125" t="s">
        <v>912</v>
      </c>
      <c r="I4" s="125" t="s">
        <v>913</v>
      </c>
      <c r="J4" s="125"/>
      <c r="K4" s="125" t="s">
        <v>914</v>
      </c>
      <c r="L4" s="125"/>
      <c r="M4" s="127"/>
    </row>
    <row r="5" spans="1:13" ht="15.75" x14ac:dyDescent="0.25">
      <c r="A5" s="126">
        <v>2</v>
      </c>
      <c r="B5" s="126">
        <v>1</v>
      </c>
      <c r="C5" s="124">
        <v>42594</v>
      </c>
      <c r="D5" s="125" t="s">
        <v>367</v>
      </c>
      <c r="E5" s="125" t="s">
        <v>905</v>
      </c>
      <c r="F5" s="125" t="s">
        <v>908</v>
      </c>
      <c r="G5" s="125" t="s">
        <v>907</v>
      </c>
      <c r="H5" s="125" t="s">
        <v>912</v>
      </c>
      <c r="I5" s="125" t="s">
        <v>915</v>
      </c>
      <c r="J5" s="125"/>
      <c r="K5" s="125" t="s">
        <v>916</v>
      </c>
      <c r="L5" s="125"/>
      <c r="M5" s="127"/>
    </row>
    <row r="6" spans="1:13" ht="15.75" x14ac:dyDescent="0.25">
      <c r="A6" s="102">
        <v>3</v>
      </c>
      <c r="B6" s="102">
        <v>2</v>
      </c>
      <c r="C6" s="124">
        <v>42632</v>
      </c>
      <c r="D6" s="125" t="s">
        <v>366</v>
      </c>
      <c r="E6" s="125" t="s">
        <v>865</v>
      </c>
      <c r="F6" s="125" t="s">
        <v>857</v>
      </c>
      <c r="G6" s="125" t="s">
        <v>905</v>
      </c>
      <c r="H6" s="125" t="s">
        <v>912</v>
      </c>
      <c r="I6" s="125" t="s">
        <v>917</v>
      </c>
      <c r="J6" s="125"/>
      <c r="K6" s="125" t="s">
        <v>918</v>
      </c>
      <c r="L6" s="125"/>
      <c r="M6" s="125" t="s">
        <v>919</v>
      </c>
    </row>
    <row r="7" spans="1:13" ht="15.75" x14ac:dyDescent="0.25">
      <c r="A7" s="126">
        <v>4</v>
      </c>
      <c r="B7" s="102">
        <v>2</v>
      </c>
      <c r="C7" s="124">
        <v>42633</v>
      </c>
      <c r="D7" s="125" t="s">
        <v>366</v>
      </c>
      <c r="E7" s="125" t="s">
        <v>905</v>
      </c>
      <c r="F7" s="125" t="s">
        <v>908</v>
      </c>
      <c r="G7" s="125" t="s">
        <v>907</v>
      </c>
      <c r="H7" s="125" t="s">
        <v>912</v>
      </c>
      <c r="I7" s="125" t="s">
        <v>920</v>
      </c>
      <c r="J7" s="125"/>
      <c r="K7" s="125" t="s">
        <v>921</v>
      </c>
      <c r="L7" s="125"/>
      <c r="M7" s="125" t="s">
        <v>922</v>
      </c>
    </row>
    <row r="8" spans="1:13" ht="15.75" x14ac:dyDescent="0.25">
      <c r="A8" s="126">
        <v>5</v>
      </c>
      <c r="B8" s="102">
        <v>2</v>
      </c>
      <c r="C8" s="124">
        <v>42634</v>
      </c>
      <c r="D8" s="125" t="s">
        <v>367</v>
      </c>
      <c r="E8" s="125" t="s">
        <v>865</v>
      </c>
      <c r="F8" s="125" t="s">
        <v>908</v>
      </c>
      <c r="G8" s="125" t="s">
        <v>905</v>
      </c>
      <c r="H8" s="125" t="s">
        <v>923</v>
      </c>
      <c r="I8" s="125" t="s">
        <v>924</v>
      </c>
      <c r="J8" s="125"/>
      <c r="K8" s="125" t="s">
        <v>925</v>
      </c>
      <c r="L8" s="125"/>
      <c r="M8" s="102"/>
    </row>
    <row r="9" spans="1:13" ht="15.75" x14ac:dyDescent="0.25">
      <c r="A9" s="102">
        <v>6</v>
      </c>
      <c r="B9" s="102">
        <v>2</v>
      </c>
      <c r="C9" s="124">
        <v>42635</v>
      </c>
      <c r="D9" s="125" t="s">
        <v>360</v>
      </c>
      <c r="E9" s="125" t="s">
        <v>865</v>
      </c>
      <c r="F9" s="125" t="s">
        <v>857</v>
      </c>
      <c r="G9" s="125" t="s">
        <v>907</v>
      </c>
      <c r="H9" s="125" t="s">
        <v>912</v>
      </c>
      <c r="I9" s="125" t="s">
        <v>926</v>
      </c>
      <c r="J9" s="125"/>
      <c r="K9" s="125" t="s">
        <v>927</v>
      </c>
      <c r="L9" s="125"/>
      <c r="M9" s="102"/>
    </row>
    <row r="10" spans="1:13" ht="15.75" x14ac:dyDescent="0.25">
      <c r="A10" s="126">
        <v>7</v>
      </c>
      <c r="B10" s="102">
        <v>2</v>
      </c>
      <c r="C10" s="124">
        <v>42636</v>
      </c>
      <c r="D10" s="125" t="s">
        <v>361</v>
      </c>
      <c r="E10" s="125" t="s">
        <v>865</v>
      </c>
      <c r="F10" s="125" t="s">
        <v>908</v>
      </c>
      <c r="G10" s="125" t="s">
        <v>857</v>
      </c>
      <c r="H10" s="125" t="s">
        <v>928</v>
      </c>
      <c r="I10" s="125" t="s">
        <v>929</v>
      </c>
      <c r="J10" s="125"/>
      <c r="K10" s="125" t="s">
        <v>930</v>
      </c>
      <c r="L10" s="125"/>
      <c r="M10" s="102"/>
    </row>
    <row r="11" spans="1:13" ht="15.75" x14ac:dyDescent="0.25">
      <c r="A11" s="126">
        <v>8</v>
      </c>
      <c r="B11" s="102">
        <v>2</v>
      </c>
      <c r="C11" s="124">
        <v>42636</v>
      </c>
      <c r="D11" s="125" t="s">
        <v>363</v>
      </c>
      <c r="E11" s="125" t="s">
        <v>905</v>
      </c>
      <c r="F11" s="125" t="s">
        <v>907</v>
      </c>
      <c r="G11" s="125" t="s">
        <v>906</v>
      </c>
      <c r="H11" s="125" t="s">
        <v>912</v>
      </c>
      <c r="I11" s="125" t="s">
        <v>931</v>
      </c>
      <c r="J11" s="125"/>
      <c r="K11" s="125" t="s">
        <v>932</v>
      </c>
      <c r="L11" s="125"/>
      <c r="M11" s="102"/>
    </row>
    <row r="12" spans="1:13" ht="15.75" x14ac:dyDescent="0.25">
      <c r="A12" s="102">
        <v>9</v>
      </c>
      <c r="B12" s="102">
        <v>3</v>
      </c>
      <c r="C12" s="128">
        <v>42646</v>
      </c>
      <c r="D12" s="38" t="s">
        <v>735</v>
      </c>
      <c r="E12" s="38" t="s">
        <v>908</v>
      </c>
      <c r="F12" s="38" t="s">
        <v>865</v>
      </c>
      <c r="G12" s="38" t="s">
        <v>857</v>
      </c>
      <c r="H12" s="38" t="s">
        <v>923</v>
      </c>
      <c r="I12" s="38" t="s">
        <v>933</v>
      </c>
      <c r="J12" s="38"/>
      <c r="K12" s="38" t="s">
        <v>934</v>
      </c>
      <c r="L12" s="38"/>
      <c r="M12" s="102"/>
    </row>
    <row r="13" spans="1:13" ht="15.75" x14ac:dyDescent="0.25">
      <c r="A13" s="126">
        <v>10</v>
      </c>
      <c r="B13" s="102">
        <v>3</v>
      </c>
      <c r="C13" s="128">
        <v>42647</v>
      </c>
      <c r="D13" s="38" t="s">
        <v>738</v>
      </c>
      <c r="E13" s="38" t="s">
        <v>908</v>
      </c>
      <c r="F13" s="38" t="s">
        <v>907</v>
      </c>
      <c r="G13" s="38" t="s">
        <v>905</v>
      </c>
      <c r="H13" s="38" t="s">
        <v>928</v>
      </c>
      <c r="I13" s="38" t="s">
        <v>935</v>
      </c>
      <c r="J13" s="38"/>
      <c r="K13" s="38" t="s">
        <v>936</v>
      </c>
      <c r="L13" s="38"/>
      <c r="M13" s="102"/>
    </row>
    <row r="14" spans="1:13" ht="15.75" x14ac:dyDescent="0.25">
      <c r="A14" s="126">
        <v>11</v>
      </c>
      <c r="B14" s="102">
        <v>3</v>
      </c>
      <c r="C14" s="128">
        <v>42648</v>
      </c>
      <c r="D14" s="38" t="s">
        <v>367</v>
      </c>
      <c r="E14" s="38" t="s">
        <v>907</v>
      </c>
      <c r="F14" s="38" t="s">
        <v>857</v>
      </c>
      <c r="G14" s="38" t="s">
        <v>854</v>
      </c>
      <c r="H14" s="38" t="s">
        <v>912</v>
      </c>
      <c r="I14" s="38" t="s">
        <v>937</v>
      </c>
      <c r="J14" s="38"/>
      <c r="K14" s="38" t="s">
        <v>938</v>
      </c>
      <c r="L14" s="38"/>
      <c r="M14" s="102"/>
    </row>
    <row r="15" spans="1:13" ht="15.75" x14ac:dyDescent="0.25">
      <c r="A15" s="102">
        <v>12</v>
      </c>
      <c r="B15" s="102">
        <v>3</v>
      </c>
      <c r="C15" s="128">
        <v>42649</v>
      </c>
      <c r="D15" s="38" t="s">
        <v>365</v>
      </c>
      <c r="E15" s="38" t="s">
        <v>908</v>
      </c>
      <c r="F15" s="38" t="s">
        <v>906</v>
      </c>
      <c r="G15" s="38" t="s">
        <v>865</v>
      </c>
      <c r="H15" s="38" t="s">
        <v>912</v>
      </c>
      <c r="I15" s="38" t="s">
        <v>939</v>
      </c>
      <c r="J15" s="38"/>
      <c r="K15" s="38" t="s">
        <v>940</v>
      </c>
      <c r="L15" s="38"/>
      <c r="M15" s="102"/>
    </row>
    <row r="16" spans="1:13" ht="15.75" x14ac:dyDescent="0.25">
      <c r="A16" s="126">
        <v>13</v>
      </c>
      <c r="B16" s="102">
        <v>3</v>
      </c>
      <c r="C16" s="128">
        <v>42649</v>
      </c>
      <c r="D16" s="38" t="s">
        <v>360</v>
      </c>
      <c r="E16" s="38" t="s">
        <v>857</v>
      </c>
      <c r="F16" s="38" t="s">
        <v>905</v>
      </c>
      <c r="G16" s="38" t="s">
        <v>907</v>
      </c>
      <c r="H16" s="38" t="s">
        <v>912</v>
      </c>
      <c r="I16" s="38" t="s">
        <v>941</v>
      </c>
      <c r="J16" s="38"/>
      <c r="K16" s="38" t="s">
        <v>942</v>
      </c>
      <c r="L16" s="38"/>
      <c r="M16" s="102"/>
    </row>
    <row r="17" spans="1:13" ht="15.75" x14ac:dyDescent="0.25">
      <c r="A17" s="126">
        <v>14</v>
      </c>
      <c r="B17" s="102">
        <v>3</v>
      </c>
      <c r="C17" s="128">
        <v>42650</v>
      </c>
      <c r="D17" s="38" t="s">
        <v>363</v>
      </c>
      <c r="E17" s="38" t="s">
        <v>857</v>
      </c>
      <c r="F17" s="38" t="s">
        <v>854</v>
      </c>
      <c r="G17" s="38" t="s">
        <v>906</v>
      </c>
      <c r="H17" s="38" t="s">
        <v>912</v>
      </c>
      <c r="I17" s="38" t="s">
        <v>943</v>
      </c>
      <c r="J17" s="38"/>
      <c r="K17" s="38" t="s">
        <v>944</v>
      </c>
      <c r="L17" s="38"/>
      <c r="M17" s="102"/>
    </row>
    <row r="18" spans="1:13" ht="15.75" x14ac:dyDescent="0.25">
      <c r="A18" s="102">
        <v>15</v>
      </c>
      <c r="B18" s="102">
        <v>3</v>
      </c>
      <c r="C18" s="128">
        <v>42650</v>
      </c>
      <c r="D18" s="38" t="s">
        <v>361</v>
      </c>
      <c r="E18" s="38" t="s">
        <v>865</v>
      </c>
      <c r="F18" s="38" t="s">
        <v>907</v>
      </c>
      <c r="G18" s="38" t="s">
        <v>905</v>
      </c>
      <c r="H18" s="38" t="s">
        <v>912</v>
      </c>
      <c r="I18" s="38" t="s">
        <v>945</v>
      </c>
      <c r="J18" s="38"/>
      <c r="K18" s="38" t="s">
        <v>946</v>
      </c>
      <c r="L18" s="38"/>
      <c r="M18" s="102"/>
    </row>
    <row r="19" spans="1:13" ht="15.75" x14ac:dyDescent="0.25">
      <c r="A19" s="126">
        <v>16</v>
      </c>
      <c r="B19" s="102">
        <v>4</v>
      </c>
      <c r="C19" s="124">
        <v>42660</v>
      </c>
      <c r="D19" s="38" t="s">
        <v>366</v>
      </c>
      <c r="E19" s="38" t="s">
        <v>905</v>
      </c>
      <c r="F19" s="38" t="s">
        <v>908</v>
      </c>
      <c r="G19" s="125" t="s">
        <v>865</v>
      </c>
      <c r="H19" s="125" t="s">
        <v>923</v>
      </c>
      <c r="I19" s="129" t="s">
        <v>947</v>
      </c>
      <c r="J19" s="38"/>
      <c r="K19" s="130" t="s">
        <v>948</v>
      </c>
      <c r="L19" s="38"/>
      <c r="M19" s="125"/>
    </row>
    <row r="20" spans="1:13" ht="15.75" x14ac:dyDescent="0.25">
      <c r="A20" s="126">
        <v>17</v>
      </c>
      <c r="B20" s="102">
        <v>4</v>
      </c>
      <c r="C20" s="124">
        <v>42663</v>
      </c>
      <c r="D20" s="38" t="s">
        <v>367</v>
      </c>
      <c r="E20" s="38" t="s">
        <v>908</v>
      </c>
      <c r="F20" s="38" t="s">
        <v>907</v>
      </c>
      <c r="G20" s="125" t="s">
        <v>905</v>
      </c>
      <c r="H20" s="125" t="s">
        <v>912</v>
      </c>
      <c r="I20" s="129" t="s">
        <v>949</v>
      </c>
      <c r="J20" s="38"/>
      <c r="K20" s="130" t="s">
        <v>950</v>
      </c>
      <c r="L20" s="38"/>
      <c r="M20" s="102"/>
    </row>
    <row r="21" spans="1:13" ht="15.75" x14ac:dyDescent="0.25">
      <c r="A21" s="102">
        <v>18</v>
      </c>
      <c r="B21" s="102">
        <v>4</v>
      </c>
      <c r="C21" s="124">
        <v>42662</v>
      </c>
      <c r="D21" s="38" t="s">
        <v>360</v>
      </c>
      <c r="E21" s="38" t="s">
        <v>865</v>
      </c>
      <c r="F21" s="38" t="s">
        <v>854</v>
      </c>
      <c r="G21" s="125" t="s">
        <v>907</v>
      </c>
      <c r="H21" s="125" t="s">
        <v>912</v>
      </c>
      <c r="I21" s="129" t="s">
        <v>951</v>
      </c>
      <c r="J21" s="38"/>
      <c r="K21" s="130" t="s">
        <v>952</v>
      </c>
      <c r="L21" s="38"/>
      <c r="M21" s="102"/>
    </row>
    <row r="22" spans="1:13" ht="15.75" x14ac:dyDescent="0.25">
      <c r="A22" s="126">
        <v>19</v>
      </c>
      <c r="B22" s="102">
        <v>4</v>
      </c>
      <c r="C22" s="124">
        <v>42662</v>
      </c>
      <c r="D22" s="38" t="s">
        <v>361</v>
      </c>
      <c r="E22" s="38" t="s">
        <v>953</v>
      </c>
      <c r="F22" s="38" t="s">
        <v>908</v>
      </c>
      <c r="G22" s="125" t="s">
        <v>905</v>
      </c>
      <c r="H22" s="125" t="s">
        <v>912</v>
      </c>
      <c r="I22" s="129" t="s">
        <v>954</v>
      </c>
      <c r="J22" s="38"/>
      <c r="K22" s="130" t="s">
        <v>955</v>
      </c>
      <c r="L22" s="38"/>
      <c r="M22" s="102" t="s">
        <v>956</v>
      </c>
    </row>
    <row r="23" spans="1:13" ht="15.75" x14ac:dyDescent="0.25">
      <c r="A23" s="126">
        <v>20</v>
      </c>
      <c r="B23" s="102">
        <v>4</v>
      </c>
      <c r="C23" s="124">
        <v>42664</v>
      </c>
      <c r="D23" s="38" t="s">
        <v>363</v>
      </c>
      <c r="E23" s="38" t="s">
        <v>857</v>
      </c>
      <c r="F23" s="38" t="s">
        <v>957</v>
      </c>
      <c r="G23" s="125" t="s">
        <v>905</v>
      </c>
      <c r="H23" s="125" t="s">
        <v>912</v>
      </c>
      <c r="I23" s="129" t="s">
        <v>958</v>
      </c>
      <c r="J23" s="38"/>
      <c r="K23" s="130" t="s">
        <v>959</v>
      </c>
      <c r="L23" s="38"/>
      <c r="M23" s="102"/>
    </row>
    <row r="24" spans="1:13" ht="15.75" x14ac:dyDescent="0.25">
      <c r="A24" s="102"/>
      <c r="B24" s="102"/>
      <c r="C24" s="102"/>
      <c r="D24" s="102"/>
      <c r="E24" s="102"/>
      <c r="F24" s="102"/>
      <c r="G24" s="102"/>
      <c r="H24" s="102"/>
      <c r="I24" s="102"/>
      <c r="J24" s="102"/>
      <c r="K24" s="102"/>
      <c r="L24" s="102"/>
      <c r="M24" s="102"/>
    </row>
    <row r="25" spans="1:13" ht="15.75" x14ac:dyDescent="0.25">
      <c r="A25" s="102"/>
      <c r="B25" s="102"/>
      <c r="C25" s="102"/>
      <c r="D25" s="102"/>
      <c r="E25" s="102"/>
      <c r="F25" s="102"/>
      <c r="G25" s="102"/>
      <c r="H25" s="102"/>
      <c r="I25" s="102"/>
      <c r="J25" s="102"/>
      <c r="K25" s="102"/>
      <c r="L25" s="102"/>
      <c r="M25" s="102"/>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889CF-8EAB-453B-B7C2-5170CE57B963}">
  <dimension ref="A1:M19"/>
  <sheetViews>
    <sheetView workbookViewId="0">
      <selection activeCell="D15" sqref="D15"/>
    </sheetView>
  </sheetViews>
  <sheetFormatPr defaultRowHeight="15" x14ac:dyDescent="0.25"/>
  <cols>
    <col min="3" max="3" width="10.140625" bestFit="1" customWidth="1"/>
    <col min="7" max="7" width="12.28515625" bestFit="1" customWidth="1"/>
    <col min="8" max="8" width="15.42578125" customWidth="1"/>
    <col min="9" max="9" width="12.140625" bestFit="1" customWidth="1"/>
    <col min="10" max="10" width="10" bestFit="1" customWidth="1"/>
    <col min="11" max="11" width="11" bestFit="1" customWidth="1"/>
    <col min="12" max="12" width="10.140625" bestFit="1" customWidth="1"/>
    <col min="13" max="13" width="27" customWidth="1"/>
  </cols>
  <sheetData>
    <row r="1" spans="1:13" ht="15.75" x14ac:dyDescent="0.25">
      <c r="A1" s="48" t="s">
        <v>1086</v>
      </c>
      <c r="B1" s="48"/>
      <c r="C1" s="44"/>
      <c r="D1" s="44"/>
      <c r="E1" s="44"/>
      <c r="F1" s="44"/>
      <c r="G1" s="44"/>
      <c r="H1" s="44"/>
    </row>
    <row r="2" spans="1:13" ht="15.75" x14ac:dyDescent="0.25">
      <c r="A2" s="49" t="s">
        <v>1</v>
      </c>
      <c r="B2" s="49"/>
      <c r="C2" s="44"/>
      <c r="D2" s="44"/>
      <c r="E2" s="44" t="s">
        <v>2</v>
      </c>
      <c r="F2" s="44"/>
      <c r="G2" s="44"/>
      <c r="H2" s="44" t="s">
        <v>3</v>
      </c>
    </row>
    <row r="3" spans="1:13" ht="15.75" x14ac:dyDescent="0.25">
      <c r="A3" s="85" t="s">
        <v>4</v>
      </c>
      <c r="B3" s="85" t="s">
        <v>601</v>
      </c>
      <c r="C3" s="86" t="s">
        <v>5</v>
      </c>
      <c r="D3" s="85" t="s">
        <v>351</v>
      </c>
      <c r="E3" s="85" t="s">
        <v>1140</v>
      </c>
      <c r="F3" s="85" t="s">
        <v>850</v>
      </c>
      <c r="G3" s="85" t="s">
        <v>851</v>
      </c>
      <c r="H3" s="85" t="s">
        <v>708</v>
      </c>
      <c r="I3" s="87" t="s">
        <v>768</v>
      </c>
      <c r="J3" s="85" t="s">
        <v>769</v>
      </c>
      <c r="K3" s="85" t="s">
        <v>605</v>
      </c>
      <c r="L3" s="85" t="s">
        <v>606</v>
      </c>
      <c r="M3" s="88" t="s">
        <v>709</v>
      </c>
    </row>
    <row r="4" spans="1:13" x14ac:dyDescent="0.25">
      <c r="A4" s="1">
        <v>1</v>
      </c>
      <c r="B4" s="1">
        <v>1</v>
      </c>
      <c r="C4" s="2">
        <v>43010</v>
      </c>
      <c r="D4" s="1" t="s">
        <v>366</v>
      </c>
      <c r="E4" s="1" t="s">
        <v>953</v>
      </c>
      <c r="F4" s="1" t="s">
        <v>905</v>
      </c>
      <c r="G4" s="1" t="s">
        <v>908</v>
      </c>
      <c r="H4" s="1" t="s">
        <v>912</v>
      </c>
      <c r="I4" s="1" t="s">
        <v>960</v>
      </c>
      <c r="J4" s="22">
        <v>1.22</v>
      </c>
      <c r="K4" s="1" t="s">
        <v>961</v>
      </c>
      <c r="L4" s="22">
        <v>1.3</v>
      </c>
      <c r="M4" s="1"/>
    </row>
    <row r="5" spans="1:13" x14ac:dyDescent="0.25">
      <c r="A5" s="1">
        <v>2</v>
      </c>
      <c r="B5" s="1">
        <v>1</v>
      </c>
      <c r="C5" s="2">
        <v>43010</v>
      </c>
      <c r="D5" s="1" t="s">
        <v>367</v>
      </c>
      <c r="E5" s="1" t="s">
        <v>857</v>
      </c>
      <c r="F5" s="1" t="s">
        <v>907</v>
      </c>
      <c r="G5" s="1" t="s">
        <v>969</v>
      </c>
      <c r="H5" s="1" t="s">
        <v>912</v>
      </c>
      <c r="I5" s="1" t="s">
        <v>962</v>
      </c>
      <c r="J5" s="22">
        <v>1.37</v>
      </c>
      <c r="K5" s="1" t="s">
        <v>963</v>
      </c>
      <c r="L5" s="22">
        <v>1.79</v>
      </c>
      <c r="M5" s="1" t="s">
        <v>964</v>
      </c>
    </row>
    <row r="6" spans="1:13" x14ac:dyDescent="0.25">
      <c r="A6" s="1">
        <v>3</v>
      </c>
      <c r="B6" s="1">
        <v>1</v>
      </c>
      <c r="C6" s="2">
        <v>43011</v>
      </c>
      <c r="D6" s="1" t="s">
        <v>365</v>
      </c>
      <c r="E6" s="1" t="s">
        <v>857</v>
      </c>
      <c r="F6" s="1" t="s">
        <v>972</v>
      </c>
      <c r="G6" s="1" t="s">
        <v>906</v>
      </c>
      <c r="H6" s="1" t="s">
        <v>912</v>
      </c>
      <c r="I6" s="1" t="s">
        <v>965</v>
      </c>
      <c r="J6" s="22">
        <v>2.31</v>
      </c>
      <c r="K6" s="1" t="s">
        <v>966</v>
      </c>
      <c r="L6" s="22">
        <v>3.86</v>
      </c>
      <c r="M6" s="1"/>
    </row>
    <row r="7" spans="1:13" x14ac:dyDescent="0.25">
      <c r="A7" s="1">
        <v>4</v>
      </c>
      <c r="B7" s="1">
        <v>1</v>
      </c>
      <c r="C7" s="2">
        <v>43011</v>
      </c>
      <c r="D7" s="1" t="s">
        <v>360</v>
      </c>
      <c r="E7" s="1" t="s">
        <v>905</v>
      </c>
      <c r="F7" s="1" t="s">
        <v>953</v>
      </c>
      <c r="G7" s="1" t="s">
        <v>907</v>
      </c>
      <c r="H7" s="1" t="s">
        <v>912</v>
      </c>
      <c r="I7" s="1" t="s">
        <v>967</v>
      </c>
      <c r="J7" s="22">
        <v>1.98</v>
      </c>
      <c r="K7" s="1" t="s">
        <v>968</v>
      </c>
      <c r="L7" s="22">
        <v>2.13</v>
      </c>
      <c r="M7" s="1"/>
    </row>
    <row r="8" spans="1:13" x14ac:dyDescent="0.25">
      <c r="A8" s="1">
        <v>5</v>
      </c>
      <c r="B8" s="1">
        <v>1</v>
      </c>
      <c r="C8" s="2">
        <v>43013</v>
      </c>
      <c r="D8" s="1" t="s">
        <v>361</v>
      </c>
      <c r="E8" s="1" t="s">
        <v>969</v>
      </c>
      <c r="F8" s="1" t="s">
        <v>857</v>
      </c>
      <c r="G8" s="1" t="s">
        <v>953</v>
      </c>
      <c r="H8" s="1" t="s">
        <v>912</v>
      </c>
      <c r="I8" s="1" t="s">
        <v>970</v>
      </c>
      <c r="J8" s="22">
        <v>1.95</v>
      </c>
      <c r="K8" s="1" t="s">
        <v>971</v>
      </c>
      <c r="L8" s="22">
        <v>1.45</v>
      </c>
      <c r="M8" s="1"/>
    </row>
    <row r="9" spans="1:13" x14ac:dyDescent="0.25">
      <c r="A9" s="1">
        <v>6</v>
      </c>
      <c r="B9" s="1">
        <v>1</v>
      </c>
      <c r="C9" s="2">
        <v>43013</v>
      </c>
      <c r="D9" s="1" t="s">
        <v>363</v>
      </c>
      <c r="E9" s="1" t="s">
        <v>907</v>
      </c>
      <c r="F9" s="1" t="s">
        <v>972</v>
      </c>
      <c r="G9" s="1" t="s">
        <v>908</v>
      </c>
      <c r="H9" s="1" t="s">
        <v>912</v>
      </c>
      <c r="I9" s="1" t="s">
        <v>973</v>
      </c>
      <c r="J9" s="22">
        <v>1.0900000000000001</v>
      </c>
      <c r="K9" s="1" t="s">
        <v>974</v>
      </c>
      <c r="L9" s="22">
        <v>1.43</v>
      </c>
      <c r="M9" s="1"/>
    </row>
    <row r="10" spans="1:13" x14ac:dyDescent="0.25">
      <c r="A10" s="1">
        <v>7</v>
      </c>
      <c r="B10" s="1">
        <v>2</v>
      </c>
      <c r="C10" s="23">
        <v>43024</v>
      </c>
      <c r="D10" s="24" t="s">
        <v>366</v>
      </c>
      <c r="E10" s="24" t="s">
        <v>857</v>
      </c>
      <c r="F10" s="24" t="s">
        <v>953</v>
      </c>
      <c r="G10" s="24" t="s">
        <v>907</v>
      </c>
      <c r="H10" s="24" t="s">
        <v>912</v>
      </c>
      <c r="I10" s="24" t="s">
        <v>975</v>
      </c>
      <c r="J10" s="26">
        <v>1.22</v>
      </c>
      <c r="K10" s="24" t="s">
        <v>976</v>
      </c>
      <c r="L10" s="26">
        <v>1.95</v>
      </c>
      <c r="M10" s="25"/>
    </row>
    <row r="11" spans="1:13" x14ac:dyDescent="0.25">
      <c r="A11" s="1">
        <v>8</v>
      </c>
      <c r="B11" s="1">
        <v>2</v>
      </c>
      <c r="C11" s="23">
        <v>43024</v>
      </c>
      <c r="D11" s="24" t="s">
        <v>367</v>
      </c>
      <c r="E11" s="24" t="s">
        <v>905</v>
      </c>
      <c r="F11" s="24" t="s">
        <v>908</v>
      </c>
      <c r="G11" s="24" t="s">
        <v>865</v>
      </c>
      <c r="H11" s="24" t="s">
        <v>912</v>
      </c>
      <c r="I11" s="24" t="s">
        <v>977</v>
      </c>
      <c r="J11" s="26">
        <v>1.17</v>
      </c>
      <c r="K11" s="24" t="s">
        <v>978</v>
      </c>
      <c r="L11" s="26">
        <v>1.52</v>
      </c>
      <c r="M11" s="25"/>
    </row>
    <row r="12" spans="1:13" x14ac:dyDescent="0.25">
      <c r="A12" s="1">
        <v>9</v>
      </c>
      <c r="B12" s="1">
        <v>2</v>
      </c>
      <c r="C12" s="23">
        <v>43025</v>
      </c>
      <c r="D12" s="24" t="s">
        <v>365</v>
      </c>
      <c r="E12" s="24" t="s">
        <v>972</v>
      </c>
      <c r="F12" s="24" t="s">
        <v>907</v>
      </c>
      <c r="G12" s="24" t="s">
        <v>906</v>
      </c>
      <c r="H12" s="24" t="s">
        <v>912</v>
      </c>
      <c r="I12" s="24" t="s">
        <v>979</v>
      </c>
      <c r="J12" s="26">
        <v>1.79</v>
      </c>
      <c r="K12" s="24" t="s">
        <v>980</v>
      </c>
      <c r="L12" s="26">
        <v>3.63</v>
      </c>
      <c r="M12" s="27" t="s">
        <v>981</v>
      </c>
    </row>
    <row r="13" spans="1:13" x14ac:dyDescent="0.25">
      <c r="A13" s="1">
        <v>10</v>
      </c>
      <c r="B13" s="1">
        <v>2</v>
      </c>
      <c r="C13" s="23">
        <v>43025</v>
      </c>
      <c r="D13" s="24" t="s">
        <v>360</v>
      </c>
      <c r="E13" s="24" t="s">
        <v>908</v>
      </c>
      <c r="F13" s="24" t="s">
        <v>953</v>
      </c>
      <c r="G13" s="24" t="s">
        <v>857</v>
      </c>
      <c r="H13" s="24" t="s">
        <v>912</v>
      </c>
      <c r="I13" s="24" t="s">
        <v>982</v>
      </c>
      <c r="J13" s="26">
        <v>1.73</v>
      </c>
      <c r="K13" s="24" t="s">
        <v>983</v>
      </c>
      <c r="L13" s="26">
        <v>1.87</v>
      </c>
      <c r="M13" s="25"/>
    </row>
    <row r="14" spans="1:13" x14ac:dyDescent="0.25">
      <c r="A14" s="1">
        <v>11</v>
      </c>
      <c r="B14" s="1">
        <v>2</v>
      </c>
      <c r="C14" s="23">
        <v>43026</v>
      </c>
      <c r="D14" s="24" t="s">
        <v>361</v>
      </c>
      <c r="E14" s="24" t="s">
        <v>908</v>
      </c>
      <c r="F14" s="24" t="s">
        <v>857</v>
      </c>
      <c r="G14" s="24" t="s">
        <v>969</v>
      </c>
      <c r="H14" s="24" t="s">
        <v>912</v>
      </c>
      <c r="I14" s="24" t="s">
        <v>790</v>
      </c>
      <c r="J14" s="26">
        <v>2.23</v>
      </c>
      <c r="K14" s="24" t="s">
        <v>984</v>
      </c>
      <c r="L14" s="26">
        <v>1.58</v>
      </c>
      <c r="M14" s="25"/>
    </row>
    <row r="15" spans="1:13" x14ac:dyDescent="0.25">
      <c r="A15" s="1">
        <v>12</v>
      </c>
      <c r="B15" s="1">
        <v>2</v>
      </c>
      <c r="C15" s="23">
        <v>43026</v>
      </c>
      <c r="D15" s="24" t="s">
        <v>363</v>
      </c>
      <c r="E15" s="24" t="s">
        <v>953</v>
      </c>
      <c r="F15" s="24" t="s">
        <v>972</v>
      </c>
      <c r="G15" s="24" t="s">
        <v>905</v>
      </c>
      <c r="H15" s="24" t="s">
        <v>912</v>
      </c>
      <c r="I15" s="24" t="s">
        <v>985</v>
      </c>
      <c r="J15" s="26">
        <v>1.53</v>
      </c>
      <c r="K15" s="24" t="s">
        <v>986</v>
      </c>
      <c r="L15" s="26">
        <v>2.12</v>
      </c>
      <c r="M15" s="25"/>
    </row>
    <row r="16" spans="1:13" x14ac:dyDescent="0.25">
      <c r="A16" s="1">
        <v>13</v>
      </c>
      <c r="B16" s="1">
        <v>3</v>
      </c>
      <c r="C16" s="28">
        <v>43034</v>
      </c>
      <c r="D16" s="29" t="s">
        <v>366</v>
      </c>
      <c r="E16" s="30" t="s">
        <v>905</v>
      </c>
      <c r="F16" s="30" t="s">
        <v>857</v>
      </c>
      <c r="G16" s="30" t="s">
        <v>953</v>
      </c>
      <c r="H16" s="30" t="s">
        <v>987</v>
      </c>
      <c r="I16" s="30" t="s">
        <v>987</v>
      </c>
      <c r="J16" s="26">
        <v>1.22</v>
      </c>
      <c r="K16" s="24" t="s">
        <v>988</v>
      </c>
      <c r="L16" s="26">
        <v>2.1</v>
      </c>
      <c r="M16" s="25"/>
    </row>
    <row r="17" spans="1:13" x14ac:dyDescent="0.25">
      <c r="A17" s="1">
        <v>14</v>
      </c>
      <c r="B17" s="1">
        <v>3</v>
      </c>
      <c r="C17" s="31">
        <v>43035</v>
      </c>
      <c r="D17" s="32" t="s">
        <v>367</v>
      </c>
      <c r="E17" s="32" t="s">
        <v>907</v>
      </c>
      <c r="F17" s="32" t="s">
        <v>857</v>
      </c>
      <c r="G17" s="32" t="s">
        <v>953</v>
      </c>
      <c r="H17" s="32" t="s">
        <v>987</v>
      </c>
      <c r="I17" s="33" t="s">
        <v>987</v>
      </c>
      <c r="J17" s="26">
        <v>0.89</v>
      </c>
      <c r="K17" s="24" t="s">
        <v>989</v>
      </c>
      <c r="L17" s="26">
        <v>1.07</v>
      </c>
      <c r="M17" s="25"/>
    </row>
    <row r="18" spans="1:13" x14ac:dyDescent="0.25">
      <c r="A18" s="1">
        <v>15</v>
      </c>
      <c r="B18" s="1">
        <v>3</v>
      </c>
      <c r="C18" s="23">
        <v>43033</v>
      </c>
      <c r="D18" s="24" t="s">
        <v>365</v>
      </c>
      <c r="E18" s="24" t="s">
        <v>857</v>
      </c>
      <c r="F18" s="24" t="s">
        <v>907</v>
      </c>
      <c r="G18" s="24" t="s">
        <v>865</v>
      </c>
      <c r="H18" s="24" t="s">
        <v>912</v>
      </c>
      <c r="I18" s="24" t="s">
        <v>990</v>
      </c>
      <c r="J18" s="26">
        <v>2.4900000000000002</v>
      </c>
      <c r="K18" s="24" t="s">
        <v>991</v>
      </c>
      <c r="L18" s="26">
        <v>2.2200000000000002</v>
      </c>
      <c r="M18" s="25"/>
    </row>
    <row r="19" spans="1:13" x14ac:dyDescent="0.25">
      <c r="A19" s="1">
        <v>16</v>
      </c>
      <c r="B19" s="1">
        <v>3</v>
      </c>
      <c r="C19" s="23">
        <v>43033</v>
      </c>
      <c r="D19" s="24" t="s">
        <v>360</v>
      </c>
      <c r="E19" s="24" t="s">
        <v>953</v>
      </c>
      <c r="F19" s="24" t="s">
        <v>905</v>
      </c>
      <c r="G19" s="24" t="s">
        <v>908</v>
      </c>
      <c r="H19" s="24" t="s">
        <v>912</v>
      </c>
      <c r="I19" s="24" t="s">
        <v>992</v>
      </c>
      <c r="J19" s="26">
        <v>1.62</v>
      </c>
      <c r="K19" s="24" t="s">
        <v>993</v>
      </c>
      <c r="L19" s="26">
        <v>2.16</v>
      </c>
      <c r="M19" s="25"/>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23BA4-E210-4E53-A5A2-D9BAC4B085B1}">
  <dimension ref="A1:M39"/>
  <sheetViews>
    <sheetView workbookViewId="0">
      <selection activeCell="D8" sqref="D8"/>
    </sheetView>
  </sheetViews>
  <sheetFormatPr defaultRowHeight="15" x14ac:dyDescent="0.25"/>
  <cols>
    <col min="3" max="3" width="19.85546875" bestFit="1" customWidth="1"/>
    <col min="8" max="8" width="14.85546875" bestFit="1" customWidth="1"/>
    <col min="9" max="9" width="22.42578125" bestFit="1" customWidth="1"/>
    <col min="11" max="11" width="11" bestFit="1" customWidth="1"/>
    <col min="12" max="12" width="10.140625" bestFit="1" customWidth="1"/>
    <col min="13" max="13" width="79.85546875" bestFit="1" customWidth="1"/>
  </cols>
  <sheetData>
    <row r="1" spans="1:13" ht="15.75" x14ac:dyDescent="0.25">
      <c r="A1" s="48" t="s">
        <v>1085</v>
      </c>
      <c r="B1" s="44"/>
      <c r="C1" s="44"/>
      <c r="D1" s="44"/>
      <c r="E1" s="44"/>
      <c r="F1" s="44"/>
      <c r="G1" s="44"/>
      <c r="H1" s="44"/>
      <c r="I1" s="44"/>
    </row>
    <row r="2" spans="1:13" ht="15.75" x14ac:dyDescent="0.25">
      <c r="A2" s="49" t="s">
        <v>1</v>
      </c>
      <c r="B2" s="44"/>
      <c r="C2" s="44"/>
      <c r="D2" s="44" t="s">
        <v>2</v>
      </c>
      <c r="E2" s="44"/>
      <c r="F2" s="44"/>
      <c r="G2" s="44" t="s">
        <v>3</v>
      </c>
      <c r="H2" s="44"/>
      <c r="I2" s="44"/>
    </row>
    <row r="3" spans="1:13" ht="31.5" x14ac:dyDescent="0.25">
      <c r="A3" s="85" t="s">
        <v>4</v>
      </c>
      <c r="B3" s="85" t="s">
        <v>601</v>
      </c>
      <c r="C3" s="86" t="s">
        <v>5</v>
      </c>
      <c r="D3" s="85" t="s">
        <v>351</v>
      </c>
      <c r="E3" s="85" t="s">
        <v>1140</v>
      </c>
      <c r="F3" s="85" t="s">
        <v>850</v>
      </c>
      <c r="G3" s="85" t="s">
        <v>851</v>
      </c>
      <c r="H3" s="85" t="s">
        <v>708</v>
      </c>
      <c r="I3" s="87" t="s">
        <v>768</v>
      </c>
      <c r="J3" s="85" t="s">
        <v>769</v>
      </c>
      <c r="K3" s="85" t="s">
        <v>605</v>
      </c>
      <c r="L3" s="85" t="s">
        <v>606</v>
      </c>
      <c r="M3" s="88" t="s">
        <v>709</v>
      </c>
    </row>
    <row r="4" spans="1:13" ht="15.75" x14ac:dyDescent="0.25">
      <c r="A4" s="102">
        <v>1</v>
      </c>
      <c r="B4" s="111">
        <v>1</v>
      </c>
      <c r="C4" s="113">
        <v>43354</v>
      </c>
      <c r="D4" s="114" t="s">
        <v>366</v>
      </c>
      <c r="E4" s="114" t="s">
        <v>907</v>
      </c>
      <c r="F4" s="114" t="s">
        <v>957</v>
      </c>
      <c r="G4" s="114" t="s">
        <v>905</v>
      </c>
      <c r="H4" s="114" t="s">
        <v>912</v>
      </c>
      <c r="I4" s="114" t="s">
        <v>994</v>
      </c>
      <c r="J4" s="60">
        <v>1.0900000000000001</v>
      </c>
      <c r="K4" s="54" t="s">
        <v>995</v>
      </c>
      <c r="L4" s="60">
        <v>1.73</v>
      </c>
      <c r="M4" s="115"/>
    </row>
    <row r="5" spans="1:13" ht="15.75" x14ac:dyDescent="0.25">
      <c r="A5" s="102">
        <v>2</v>
      </c>
      <c r="B5" s="111">
        <v>1</v>
      </c>
      <c r="C5" s="113">
        <v>43355</v>
      </c>
      <c r="D5" s="111" t="s">
        <v>443</v>
      </c>
      <c r="E5" s="111" t="s">
        <v>857</v>
      </c>
      <c r="F5" s="111" t="s">
        <v>907</v>
      </c>
      <c r="G5" s="111" t="s">
        <v>996</v>
      </c>
      <c r="H5" s="111" t="s">
        <v>912</v>
      </c>
      <c r="I5" s="111" t="s">
        <v>997</v>
      </c>
      <c r="J5" s="60">
        <v>1.43</v>
      </c>
      <c r="K5" s="54" t="s">
        <v>998</v>
      </c>
      <c r="L5" s="60"/>
      <c r="M5" s="115" t="s">
        <v>999</v>
      </c>
    </row>
    <row r="6" spans="1:13" ht="15.75" x14ac:dyDescent="0.25">
      <c r="A6" s="102">
        <v>3</v>
      </c>
      <c r="B6" s="111">
        <v>1</v>
      </c>
      <c r="C6" s="113">
        <v>43354</v>
      </c>
      <c r="D6" s="114" t="s">
        <v>365</v>
      </c>
      <c r="E6" s="114" t="s">
        <v>857</v>
      </c>
      <c r="F6" s="114" t="s">
        <v>996</v>
      </c>
      <c r="G6" s="114" t="s">
        <v>906</v>
      </c>
      <c r="H6" s="114" t="s">
        <v>912</v>
      </c>
      <c r="I6" s="114" t="s">
        <v>1000</v>
      </c>
      <c r="J6" s="60">
        <v>2.4700000000000002</v>
      </c>
      <c r="K6" s="54" t="s">
        <v>1001</v>
      </c>
      <c r="L6" s="60">
        <v>2.68</v>
      </c>
      <c r="M6" s="115"/>
    </row>
    <row r="7" spans="1:13" ht="15.75" x14ac:dyDescent="0.25">
      <c r="A7" s="102">
        <v>4</v>
      </c>
      <c r="B7" s="111">
        <v>1</v>
      </c>
      <c r="C7" s="113">
        <v>43356</v>
      </c>
      <c r="D7" s="114" t="s">
        <v>1002</v>
      </c>
      <c r="E7" s="114" t="s">
        <v>865</v>
      </c>
      <c r="F7" s="114" t="s">
        <v>857</v>
      </c>
      <c r="G7" s="114" t="s">
        <v>907</v>
      </c>
      <c r="H7" s="114" t="s">
        <v>928</v>
      </c>
      <c r="I7" s="114" t="s">
        <v>1003</v>
      </c>
      <c r="J7" s="60">
        <v>2.69</v>
      </c>
      <c r="K7" s="54" t="s">
        <v>1004</v>
      </c>
      <c r="L7" s="60">
        <v>2.58</v>
      </c>
      <c r="M7" s="115" t="s">
        <v>1005</v>
      </c>
    </row>
    <row r="8" spans="1:13" ht="15.75" x14ac:dyDescent="0.25">
      <c r="A8" s="102">
        <v>5</v>
      </c>
      <c r="B8" s="111">
        <v>1</v>
      </c>
      <c r="C8" s="113">
        <v>43357</v>
      </c>
      <c r="D8" s="114" t="s">
        <v>1006</v>
      </c>
      <c r="E8" s="114" t="s">
        <v>865</v>
      </c>
      <c r="F8" s="114" t="s">
        <v>905</v>
      </c>
      <c r="G8" s="114" t="s">
        <v>906</v>
      </c>
      <c r="H8" s="114" t="s">
        <v>928</v>
      </c>
      <c r="I8" s="114" t="s">
        <v>1007</v>
      </c>
      <c r="J8" s="60">
        <v>2.16</v>
      </c>
      <c r="K8" s="54" t="s">
        <v>1008</v>
      </c>
      <c r="L8" s="60"/>
      <c r="M8" s="115" t="s">
        <v>1009</v>
      </c>
    </row>
    <row r="9" spans="1:13" ht="15.75" x14ac:dyDescent="0.25">
      <c r="A9" s="102">
        <v>6</v>
      </c>
      <c r="B9" s="111">
        <v>2</v>
      </c>
      <c r="C9" s="113">
        <v>43374</v>
      </c>
      <c r="D9" s="114" t="s">
        <v>366</v>
      </c>
      <c r="E9" s="114" t="s">
        <v>1010</v>
      </c>
      <c r="F9" s="114" t="s">
        <v>957</v>
      </c>
      <c r="G9" s="114" t="s">
        <v>1011</v>
      </c>
      <c r="H9" s="114" t="s">
        <v>923</v>
      </c>
      <c r="I9" s="114" t="s">
        <v>1012</v>
      </c>
      <c r="J9" s="60">
        <v>2.6</v>
      </c>
      <c r="K9" s="54" t="s">
        <v>1013</v>
      </c>
      <c r="L9" s="60">
        <v>1.47</v>
      </c>
      <c r="M9" s="116" t="s">
        <v>1014</v>
      </c>
    </row>
    <row r="10" spans="1:13" ht="15.75" x14ac:dyDescent="0.25">
      <c r="A10" s="102">
        <v>7</v>
      </c>
      <c r="B10" s="111">
        <v>2</v>
      </c>
      <c r="C10" s="113">
        <v>43374</v>
      </c>
      <c r="D10" s="114" t="s">
        <v>367</v>
      </c>
      <c r="E10" s="114" t="s">
        <v>865</v>
      </c>
      <c r="F10" s="114" t="s">
        <v>857</v>
      </c>
      <c r="G10" s="114" t="s">
        <v>996</v>
      </c>
      <c r="H10" s="114" t="s">
        <v>923</v>
      </c>
      <c r="I10" s="114" t="s">
        <v>1015</v>
      </c>
      <c r="J10" s="111">
        <v>2.33</v>
      </c>
      <c r="K10" s="114" t="s">
        <v>1016</v>
      </c>
      <c r="L10" s="111">
        <v>1.46</v>
      </c>
      <c r="M10" s="104"/>
    </row>
    <row r="11" spans="1:13" ht="15.75" x14ac:dyDescent="0.25">
      <c r="A11" s="102">
        <v>8</v>
      </c>
      <c r="B11" s="111">
        <v>2</v>
      </c>
      <c r="C11" s="113">
        <v>43375</v>
      </c>
      <c r="D11" s="114" t="s">
        <v>365</v>
      </c>
      <c r="E11" s="114" t="s">
        <v>996</v>
      </c>
      <c r="F11" s="114" t="s">
        <v>905</v>
      </c>
      <c r="G11" s="114" t="s">
        <v>906</v>
      </c>
      <c r="H11" s="114" t="s">
        <v>928</v>
      </c>
      <c r="I11" s="114" t="s">
        <v>1017</v>
      </c>
      <c r="J11" s="111">
        <v>6.02</v>
      </c>
      <c r="K11" s="114" t="s">
        <v>1018</v>
      </c>
      <c r="L11" s="111">
        <v>2.61</v>
      </c>
      <c r="M11" s="104"/>
    </row>
    <row r="12" spans="1:13" ht="15.75" x14ac:dyDescent="0.25">
      <c r="A12" s="102">
        <v>9</v>
      </c>
      <c r="B12" s="111">
        <v>2</v>
      </c>
      <c r="C12" s="113">
        <v>43376</v>
      </c>
      <c r="D12" s="114" t="s">
        <v>360</v>
      </c>
      <c r="E12" s="114" t="s">
        <v>865</v>
      </c>
      <c r="F12" s="114" t="s">
        <v>957</v>
      </c>
      <c r="G12" s="114" t="s">
        <v>907</v>
      </c>
      <c r="H12" s="114" t="s">
        <v>928</v>
      </c>
      <c r="I12" s="114" t="s">
        <v>1019</v>
      </c>
      <c r="J12" s="111">
        <v>2.36</v>
      </c>
      <c r="K12" s="114" t="s">
        <v>1020</v>
      </c>
      <c r="L12" s="111">
        <v>3.17</v>
      </c>
      <c r="M12" s="104"/>
    </row>
    <row r="13" spans="1:13" ht="15.75" x14ac:dyDescent="0.25">
      <c r="A13" s="102">
        <v>10</v>
      </c>
      <c r="B13" s="111">
        <v>2</v>
      </c>
      <c r="C13" s="98">
        <v>43382</v>
      </c>
      <c r="D13" s="117" t="s">
        <v>361</v>
      </c>
      <c r="E13" s="117" t="s">
        <v>865</v>
      </c>
      <c r="F13" s="117" t="s">
        <v>857</v>
      </c>
      <c r="G13" s="117" t="s">
        <v>907</v>
      </c>
      <c r="H13" s="117" t="s">
        <v>912</v>
      </c>
      <c r="I13" s="118" t="s">
        <v>1021</v>
      </c>
      <c r="J13" s="111">
        <v>1.6</v>
      </c>
      <c r="K13" s="118" t="s">
        <v>1022</v>
      </c>
      <c r="L13" s="111">
        <v>1.59</v>
      </c>
      <c r="M13" s="119"/>
    </row>
    <row r="14" spans="1:13" ht="15.75" x14ac:dyDescent="0.25">
      <c r="A14" s="102">
        <v>11</v>
      </c>
      <c r="B14" s="111">
        <v>2</v>
      </c>
      <c r="C14" s="113">
        <v>43382</v>
      </c>
      <c r="D14" s="114" t="s">
        <v>363</v>
      </c>
      <c r="E14" s="114" t="s">
        <v>1023</v>
      </c>
      <c r="F14" s="114" t="s">
        <v>854</v>
      </c>
      <c r="G14" s="114" t="s">
        <v>905</v>
      </c>
      <c r="H14" s="114" t="s">
        <v>912</v>
      </c>
      <c r="I14" s="114" t="s">
        <v>1024</v>
      </c>
      <c r="J14" s="111">
        <v>2.74</v>
      </c>
      <c r="K14" s="114" t="s">
        <v>1025</v>
      </c>
      <c r="L14" s="111">
        <v>1.79</v>
      </c>
      <c r="M14" s="104"/>
    </row>
    <row r="15" spans="1:13" ht="15.75" x14ac:dyDescent="0.25">
      <c r="A15" s="102">
        <v>12</v>
      </c>
      <c r="B15" s="111">
        <v>3</v>
      </c>
      <c r="C15" s="113">
        <v>43388</v>
      </c>
      <c r="D15" s="114" t="s">
        <v>366</v>
      </c>
      <c r="E15" s="114" t="s">
        <v>907</v>
      </c>
      <c r="F15" s="114" t="s">
        <v>905</v>
      </c>
      <c r="G15" s="114" t="s">
        <v>996</v>
      </c>
      <c r="H15" s="114" t="s">
        <v>912</v>
      </c>
      <c r="I15" s="114" t="s">
        <v>1026</v>
      </c>
      <c r="J15" s="111">
        <v>1.54</v>
      </c>
      <c r="K15" s="114" t="s">
        <v>1027</v>
      </c>
      <c r="L15" s="111">
        <v>2.16</v>
      </c>
      <c r="M15" s="104"/>
    </row>
    <row r="16" spans="1:13" ht="15.75" x14ac:dyDescent="0.25">
      <c r="A16" s="102">
        <v>13</v>
      </c>
      <c r="B16" s="111">
        <v>3</v>
      </c>
      <c r="C16" s="113">
        <v>43388</v>
      </c>
      <c r="D16" s="114" t="s">
        <v>367</v>
      </c>
      <c r="E16" s="114" t="s">
        <v>865</v>
      </c>
      <c r="F16" s="114" t="s">
        <v>857</v>
      </c>
      <c r="G16" s="114" t="s">
        <v>1023</v>
      </c>
      <c r="H16" s="114" t="s">
        <v>912</v>
      </c>
      <c r="I16" s="114" t="s">
        <v>1028</v>
      </c>
      <c r="J16" s="111">
        <v>1.1499999999999999</v>
      </c>
      <c r="K16" s="114" t="s">
        <v>1029</v>
      </c>
      <c r="L16" s="111">
        <v>1.72</v>
      </c>
      <c r="M16" s="104"/>
    </row>
    <row r="17" spans="1:13" ht="15.75" x14ac:dyDescent="0.25">
      <c r="A17" s="102">
        <v>14</v>
      </c>
      <c r="B17" s="111">
        <v>3</v>
      </c>
      <c r="C17" s="113">
        <v>43389</v>
      </c>
      <c r="D17" s="114" t="s">
        <v>365</v>
      </c>
      <c r="E17" s="114" t="s">
        <v>1023</v>
      </c>
      <c r="F17" s="114" t="s">
        <v>907</v>
      </c>
      <c r="G17" s="114" t="s">
        <v>906</v>
      </c>
      <c r="H17" s="114" t="s">
        <v>912</v>
      </c>
      <c r="I17" s="114" t="s">
        <v>1030</v>
      </c>
      <c r="J17" s="111">
        <v>6.87</v>
      </c>
      <c r="K17" s="114" t="s">
        <v>1031</v>
      </c>
      <c r="L17" s="111">
        <v>3.66</v>
      </c>
      <c r="M17" s="104" t="s">
        <v>1032</v>
      </c>
    </row>
    <row r="18" spans="1:13" ht="15.75" x14ac:dyDescent="0.25">
      <c r="A18" s="102">
        <v>15</v>
      </c>
      <c r="B18" s="111">
        <v>3</v>
      </c>
      <c r="C18" s="113">
        <v>43390</v>
      </c>
      <c r="D18" s="114" t="s">
        <v>360</v>
      </c>
      <c r="E18" s="114" t="s">
        <v>865</v>
      </c>
      <c r="F18" s="114" t="s">
        <v>857</v>
      </c>
      <c r="G18" s="114" t="s">
        <v>905</v>
      </c>
      <c r="H18" s="114" t="s">
        <v>912</v>
      </c>
      <c r="I18" s="114" t="s">
        <v>1033</v>
      </c>
      <c r="J18" s="111">
        <v>2.97</v>
      </c>
      <c r="K18" s="114" t="s">
        <v>1034</v>
      </c>
      <c r="L18" s="111">
        <v>3.39</v>
      </c>
      <c r="M18" s="104"/>
    </row>
    <row r="19" spans="1:13" ht="15.75" x14ac:dyDescent="0.25">
      <c r="A19" s="102">
        <v>16</v>
      </c>
      <c r="B19" s="111">
        <v>3</v>
      </c>
      <c r="C19" s="113">
        <v>43392</v>
      </c>
      <c r="D19" s="114" t="s">
        <v>361</v>
      </c>
      <c r="E19" s="114" t="s">
        <v>865</v>
      </c>
      <c r="F19" s="114" t="s">
        <v>905</v>
      </c>
      <c r="G19" s="114" t="s">
        <v>857</v>
      </c>
      <c r="H19" s="114" t="s">
        <v>912</v>
      </c>
      <c r="I19" s="114" t="s">
        <v>1035</v>
      </c>
      <c r="J19" s="111">
        <v>2.83</v>
      </c>
      <c r="K19" s="114" t="s">
        <v>1036</v>
      </c>
      <c r="L19" s="111">
        <v>2.0299999999999998</v>
      </c>
      <c r="M19" s="104"/>
    </row>
    <row r="20" spans="1:13" ht="15.75" x14ac:dyDescent="0.25">
      <c r="A20" s="102">
        <v>17</v>
      </c>
      <c r="B20" s="111">
        <v>3</v>
      </c>
      <c r="C20" s="113">
        <v>43392</v>
      </c>
      <c r="D20" s="114" t="s">
        <v>363</v>
      </c>
      <c r="E20" s="114" t="s">
        <v>907</v>
      </c>
      <c r="F20" s="114" t="s">
        <v>1023</v>
      </c>
      <c r="G20" s="114" t="s">
        <v>906</v>
      </c>
      <c r="H20" s="114" t="s">
        <v>912</v>
      </c>
      <c r="I20" s="114" t="s">
        <v>1037</v>
      </c>
      <c r="J20" s="111">
        <v>2.11</v>
      </c>
      <c r="K20" s="114" t="s">
        <v>1038</v>
      </c>
      <c r="L20" s="111">
        <v>1.93</v>
      </c>
      <c r="M20" s="104"/>
    </row>
    <row r="21" spans="1:13" ht="15.75" x14ac:dyDescent="0.25">
      <c r="A21" s="102">
        <v>18</v>
      </c>
      <c r="B21" s="111">
        <v>4</v>
      </c>
      <c r="C21" s="113">
        <v>43410</v>
      </c>
      <c r="D21" s="114" t="s">
        <v>366</v>
      </c>
      <c r="E21" s="114" t="s">
        <v>905</v>
      </c>
      <c r="F21" s="114" t="s">
        <v>1023</v>
      </c>
      <c r="G21" s="114" t="s">
        <v>957</v>
      </c>
      <c r="H21" s="114" t="s">
        <v>912</v>
      </c>
      <c r="I21" s="114" t="s">
        <v>1039</v>
      </c>
      <c r="J21" s="111">
        <v>1.43</v>
      </c>
      <c r="K21" s="114" t="s">
        <v>1040</v>
      </c>
      <c r="L21" s="111">
        <v>1.47</v>
      </c>
      <c r="M21" s="104"/>
    </row>
    <row r="22" spans="1:13" ht="15.75" x14ac:dyDescent="0.25">
      <c r="A22" s="102">
        <v>19</v>
      </c>
      <c r="B22" s="111">
        <v>4</v>
      </c>
      <c r="C22" s="113">
        <v>43410</v>
      </c>
      <c r="D22" s="114" t="s">
        <v>367</v>
      </c>
      <c r="E22" s="114" t="s">
        <v>865</v>
      </c>
      <c r="F22" s="114" t="s">
        <v>857</v>
      </c>
      <c r="G22" s="114" t="s">
        <v>907</v>
      </c>
      <c r="H22" s="114" t="s">
        <v>912</v>
      </c>
      <c r="I22" s="114" t="s">
        <v>1041</v>
      </c>
      <c r="J22" s="111">
        <v>1.71</v>
      </c>
      <c r="K22" s="114" t="s">
        <v>1042</v>
      </c>
      <c r="L22" s="111">
        <v>2.66</v>
      </c>
      <c r="M22" s="104"/>
    </row>
    <row r="23" spans="1:13" ht="15.75" x14ac:dyDescent="0.25">
      <c r="A23" s="102">
        <v>20</v>
      </c>
      <c r="B23" s="111">
        <v>4</v>
      </c>
      <c r="C23" s="113">
        <v>43411</v>
      </c>
      <c r="D23" s="114" t="s">
        <v>360</v>
      </c>
      <c r="E23" s="114" t="s">
        <v>857</v>
      </c>
      <c r="F23" s="114" t="s">
        <v>1023</v>
      </c>
      <c r="G23" s="114" t="s">
        <v>907</v>
      </c>
      <c r="H23" s="114" t="s">
        <v>912</v>
      </c>
      <c r="I23" s="114" t="s">
        <v>1043</v>
      </c>
      <c r="J23" s="111">
        <v>2.41</v>
      </c>
      <c r="K23" s="114" t="s">
        <v>1044</v>
      </c>
      <c r="L23" s="111">
        <v>2.2200000000000002</v>
      </c>
      <c r="M23" s="104"/>
    </row>
    <row r="24" spans="1:13" ht="15.75" x14ac:dyDescent="0.25">
      <c r="A24" s="102"/>
      <c r="B24" s="111"/>
      <c r="C24" s="111"/>
      <c r="D24" s="111"/>
      <c r="E24" s="111"/>
      <c r="F24" s="111"/>
      <c r="G24" s="111"/>
      <c r="H24" s="111"/>
      <c r="I24" s="111"/>
      <c r="J24" s="111"/>
      <c r="K24" s="111"/>
      <c r="L24" s="111"/>
      <c r="M24" s="104"/>
    </row>
    <row r="25" spans="1:13" x14ac:dyDescent="0.25">
      <c r="B25" s="75"/>
      <c r="C25" s="75"/>
      <c r="D25" s="75"/>
      <c r="E25" s="75"/>
      <c r="F25" s="76"/>
      <c r="G25" s="75"/>
      <c r="H25" s="75"/>
      <c r="I25" s="75"/>
      <c r="J25" s="75"/>
      <c r="K25" s="75"/>
      <c r="L25" s="75"/>
      <c r="M25" s="77"/>
    </row>
    <row r="26" spans="1:13" x14ac:dyDescent="0.25">
      <c r="B26" s="75"/>
      <c r="C26" s="75"/>
      <c r="D26" s="75"/>
      <c r="E26" s="75"/>
      <c r="F26" s="76"/>
      <c r="G26" s="75"/>
      <c r="H26" s="75"/>
      <c r="I26" s="75"/>
      <c r="J26" s="75"/>
      <c r="K26" s="75"/>
      <c r="L26" s="75"/>
      <c r="M26" s="77"/>
    </row>
    <row r="27" spans="1:13" ht="19.5" x14ac:dyDescent="0.3">
      <c r="B27" s="75"/>
      <c r="C27" s="73"/>
      <c r="D27" s="74"/>
      <c r="E27" s="75"/>
      <c r="F27" s="75"/>
      <c r="G27" s="75"/>
      <c r="H27" s="75"/>
      <c r="I27" s="78"/>
      <c r="J27" s="75"/>
      <c r="K27" s="75"/>
      <c r="L27" s="75"/>
      <c r="M27" s="77"/>
    </row>
    <row r="28" spans="1:13" x14ac:dyDescent="0.25">
      <c r="B28" s="75"/>
      <c r="C28" s="79"/>
      <c r="D28" s="80"/>
      <c r="E28" s="80"/>
      <c r="F28" s="80"/>
      <c r="G28" s="81"/>
      <c r="H28" s="81"/>
      <c r="I28" s="81"/>
      <c r="J28" s="75"/>
      <c r="K28" s="75"/>
      <c r="L28" s="75"/>
      <c r="M28" s="77"/>
    </row>
    <row r="29" spans="1:13" x14ac:dyDescent="0.25">
      <c r="B29" s="75"/>
      <c r="C29" s="82"/>
      <c r="D29" s="75"/>
      <c r="E29" s="75"/>
      <c r="F29" s="82"/>
      <c r="G29" s="82"/>
      <c r="H29" s="82"/>
      <c r="I29" s="82"/>
      <c r="J29" s="75"/>
      <c r="K29" s="75"/>
      <c r="L29" s="75"/>
      <c r="M29" s="77"/>
    </row>
    <row r="30" spans="1:13" x14ac:dyDescent="0.25">
      <c r="B30" s="75"/>
      <c r="C30" s="82"/>
      <c r="D30" s="75"/>
      <c r="E30" s="75"/>
      <c r="F30" s="82"/>
      <c r="G30" s="82"/>
      <c r="H30" s="82"/>
      <c r="I30" s="82"/>
      <c r="J30" s="75"/>
      <c r="K30" s="75"/>
      <c r="L30" s="75"/>
      <c r="M30" s="77"/>
    </row>
    <row r="31" spans="1:13" x14ac:dyDescent="0.25">
      <c r="B31" s="75"/>
      <c r="C31" s="82"/>
      <c r="D31" s="75"/>
      <c r="E31" s="75"/>
      <c r="F31" s="82"/>
      <c r="G31" s="82"/>
      <c r="H31" s="82"/>
      <c r="I31" s="82"/>
      <c r="J31" s="75"/>
      <c r="K31" s="75"/>
      <c r="L31" s="75"/>
      <c r="M31" s="77"/>
    </row>
    <row r="32" spans="1:13" x14ac:dyDescent="0.25">
      <c r="B32" s="75"/>
      <c r="C32" s="75"/>
      <c r="D32" s="75"/>
      <c r="E32" s="75"/>
      <c r="F32" s="75"/>
      <c r="G32" s="82"/>
      <c r="H32" s="82"/>
      <c r="I32" s="82"/>
      <c r="J32" s="75"/>
      <c r="K32" s="75"/>
      <c r="L32" s="75"/>
      <c r="M32" s="77"/>
    </row>
    <row r="33" spans="2:13" x14ac:dyDescent="0.25">
      <c r="B33" s="75"/>
      <c r="C33" s="75"/>
      <c r="D33" s="75"/>
      <c r="E33" s="75"/>
      <c r="F33" s="76"/>
      <c r="G33" s="75"/>
      <c r="H33" s="75"/>
      <c r="I33" s="75"/>
      <c r="J33" s="75"/>
      <c r="K33" s="75"/>
      <c r="L33" s="75"/>
      <c r="M33" s="77"/>
    </row>
    <row r="34" spans="2:13" x14ac:dyDescent="0.25">
      <c r="B34" s="75"/>
      <c r="C34" s="83"/>
      <c r="D34" s="77"/>
      <c r="E34" s="75"/>
      <c r="F34" s="76"/>
      <c r="G34" s="75"/>
      <c r="H34" s="75"/>
      <c r="I34" s="75"/>
      <c r="J34" s="75"/>
      <c r="K34" s="75"/>
      <c r="L34" s="75"/>
      <c r="M34" s="77"/>
    </row>
    <row r="35" spans="2:13" x14ac:dyDescent="0.25">
      <c r="B35" s="75"/>
      <c r="C35" s="83"/>
      <c r="D35" s="77"/>
      <c r="E35" s="75"/>
      <c r="F35" s="76"/>
      <c r="G35" s="75"/>
      <c r="H35" s="75"/>
      <c r="I35" s="75"/>
      <c r="J35" s="75"/>
      <c r="K35" s="75"/>
      <c r="L35" s="75"/>
      <c r="M35" s="77"/>
    </row>
    <row r="36" spans="2:13" x14ac:dyDescent="0.25">
      <c r="B36" s="75"/>
      <c r="C36" s="83"/>
      <c r="D36" s="77"/>
      <c r="E36" s="75"/>
      <c r="F36" s="76"/>
      <c r="G36" s="75"/>
      <c r="H36" s="75"/>
      <c r="I36" s="75"/>
      <c r="J36" s="75"/>
      <c r="K36" s="75"/>
      <c r="L36" s="75"/>
      <c r="M36" s="77"/>
    </row>
    <row r="37" spans="2:13" x14ac:dyDescent="0.25">
      <c r="B37" s="75"/>
      <c r="C37" s="75"/>
      <c r="D37" s="75"/>
      <c r="E37" s="75"/>
      <c r="F37" s="76"/>
      <c r="G37" s="75"/>
      <c r="H37" s="75"/>
      <c r="I37" s="75"/>
      <c r="J37" s="75"/>
      <c r="K37" s="75"/>
      <c r="L37" s="75"/>
      <c r="M37" s="77"/>
    </row>
    <row r="38" spans="2:13" x14ac:dyDescent="0.25">
      <c r="B38" s="1"/>
      <c r="C38" s="1"/>
      <c r="D38" s="1"/>
      <c r="E38" s="1"/>
      <c r="F38" s="1"/>
      <c r="G38" s="1"/>
      <c r="H38" s="1"/>
      <c r="I38" s="1"/>
      <c r="J38" s="1"/>
      <c r="K38" s="1"/>
      <c r="L38" s="1"/>
      <c r="M38" s="34"/>
    </row>
    <row r="39" spans="2:13" x14ac:dyDescent="0.25">
      <c r="B39" s="1"/>
      <c r="C39" s="1"/>
      <c r="D39" s="1"/>
      <c r="E39" s="1"/>
      <c r="F39" s="1"/>
      <c r="G39" s="1"/>
      <c r="H39" s="1"/>
      <c r="I39" s="1"/>
      <c r="J39" s="1"/>
      <c r="K39" s="1"/>
      <c r="L39" s="1"/>
      <c r="M39" s="34"/>
    </row>
  </sheetData>
  <conditionalFormatting sqref="G29:I32">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69660-AD76-4D2A-A8DD-FA0940647AE5}">
  <dimension ref="A1:O40"/>
  <sheetViews>
    <sheetView workbookViewId="0">
      <selection activeCell="D19" sqref="D19"/>
    </sheetView>
  </sheetViews>
  <sheetFormatPr defaultRowHeight="15" x14ac:dyDescent="0.25"/>
  <cols>
    <col min="3" max="3" width="19.85546875" bestFit="1" customWidth="1"/>
    <col min="13" max="13" width="24.7109375" bestFit="1" customWidth="1"/>
  </cols>
  <sheetData>
    <row r="1" spans="1:14" ht="15.75" x14ac:dyDescent="0.25">
      <c r="A1" s="48" t="s">
        <v>1084</v>
      </c>
      <c r="B1" s="48"/>
      <c r="C1" s="44"/>
      <c r="D1" s="44"/>
      <c r="E1" s="44"/>
      <c r="F1" s="44"/>
      <c r="G1" s="44"/>
      <c r="H1" s="44"/>
    </row>
    <row r="2" spans="1:14" ht="15.75" x14ac:dyDescent="0.25">
      <c r="A2" s="49" t="s">
        <v>1</v>
      </c>
      <c r="B2" s="49"/>
      <c r="C2" s="44"/>
      <c r="D2" s="44"/>
      <c r="E2" s="44" t="s">
        <v>2</v>
      </c>
      <c r="F2" s="44"/>
      <c r="G2" s="44"/>
      <c r="H2" s="44" t="s">
        <v>3</v>
      </c>
    </row>
    <row r="3" spans="1:14" ht="31.5" x14ac:dyDescent="0.25">
      <c r="A3" s="85" t="s">
        <v>4</v>
      </c>
      <c r="B3" s="85" t="s">
        <v>601</v>
      </c>
      <c r="C3" s="86" t="s">
        <v>5</v>
      </c>
      <c r="D3" s="85" t="s">
        <v>351</v>
      </c>
      <c r="E3" s="85" t="s">
        <v>1140</v>
      </c>
      <c r="F3" s="85" t="s">
        <v>850</v>
      </c>
      <c r="G3" s="85" t="s">
        <v>851</v>
      </c>
      <c r="H3" s="85" t="s">
        <v>708</v>
      </c>
      <c r="I3" s="87" t="s">
        <v>768</v>
      </c>
      <c r="J3" s="85" t="s">
        <v>769</v>
      </c>
      <c r="K3" s="85" t="s">
        <v>605</v>
      </c>
      <c r="L3" s="85" t="s">
        <v>606</v>
      </c>
      <c r="M3" s="88" t="s">
        <v>709</v>
      </c>
      <c r="N3" s="120"/>
    </row>
    <row r="4" spans="1:14" ht="15.75" x14ac:dyDescent="0.25">
      <c r="A4" s="60">
        <v>1</v>
      </c>
      <c r="B4" s="60">
        <v>1</v>
      </c>
      <c r="C4" s="113">
        <v>43724</v>
      </c>
      <c r="D4" s="114" t="s">
        <v>365</v>
      </c>
      <c r="E4" s="111" t="s">
        <v>1045</v>
      </c>
      <c r="F4" s="111" t="s">
        <v>907</v>
      </c>
      <c r="G4" s="111" t="s">
        <v>906</v>
      </c>
      <c r="H4" s="111" t="s">
        <v>722</v>
      </c>
      <c r="I4" s="121">
        <v>0.40208333333333335</v>
      </c>
      <c r="J4" s="122"/>
      <c r="K4" s="123">
        <v>0.5708333333333333</v>
      </c>
      <c r="L4" s="59"/>
      <c r="M4" s="102"/>
      <c r="N4" s="111"/>
    </row>
    <row r="5" spans="1:14" ht="15.75" x14ac:dyDescent="0.25">
      <c r="A5" s="60">
        <v>2</v>
      </c>
      <c r="B5" s="60">
        <v>1</v>
      </c>
      <c r="C5" s="113">
        <v>43725</v>
      </c>
      <c r="D5" s="111" t="s">
        <v>366</v>
      </c>
      <c r="E5" s="111" t="s">
        <v>857</v>
      </c>
      <c r="F5" s="111" t="s">
        <v>1046</v>
      </c>
      <c r="G5" s="111" t="s">
        <v>1023</v>
      </c>
      <c r="H5" s="111" t="s">
        <v>861</v>
      </c>
      <c r="I5" s="121">
        <v>0.38055555555555554</v>
      </c>
      <c r="J5" s="21">
        <v>1.73</v>
      </c>
      <c r="K5" s="121">
        <v>0.58611111111111114</v>
      </c>
      <c r="L5" s="21">
        <v>2.37</v>
      </c>
      <c r="M5" s="102"/>
      <c r="N5" s="21"/>
    </row>
    <row r="6" spans="1:14" ht="15.75" x14ac:dyDescent="0.25">
      <c r="A6" s="60">
        <v>3</v>
      </c>
      <c r="B6" s="60">
        <v>1</v>
      </c>
      <c r="C6" s="113">
        <v>43726</v>
      </c>
      <c r="D6" s="114" t="s">
        <v>367</v>
      </c>
      <c r="E6" s="111" t="s">
        <v>1047</v>
      </c>
      <c r="F6" s="111" t="s">
        <v>1048</v>
      </c>
      <c r="G6" s="111" t="s">
        <v>907</v>
      </c>
      <c r="H6" s="111" t="s">
        <v>759</v>
      </c>
      <c r="I6" s="121">
        <v>0.39583333333333331</v>
      </c>
      <c r="J6" s="21">
        <v>1.73</v>
      </c>
      <c r="K6" s="121">
        <v>0.59861111111111109</v>
      </c>
      <c r="L6" s="21">
        <v>1.97</v>
      </c>
      <c r="M6" s="102"/>
      <c r="N6" s="21"/>
    </row>
    <row r="7" spans="1:14" ht="15.75" x14ac:dyDescent="0.25">
      <c r="A7" s="60">
        <v>4</v>
      </c>
      <c r="B7" s="60">
        <v>1</v>
      </c>
      <c r="C7" s="113">
        <v>43731</v>
      </c>
      <c r="D7" s="114" t="s">
        <v>360</v>
      </c>
      <c r="E7" s="111" t="s">
        <v>1047</v>
      </c>
      <c r="F7" s="111" t="s">
        <v>1048</v>
      </c>
      <c r="G7" s="111" t="s">
        <v>907</v>
      </c>
      <c r="H7" s="111" t="s">
        <v>861</v>
      </c>
      <c r="I7" s="121">
        <v>0.40972222222222227</v>
      </c>
      <c r="J7" s="21">
        <v>1.39</v>
      </c>
      <c r="K7" s="121">
        <v>0.60833333333333328</v>
      </c>
      <c r="L7" s="21">
        <v>1.29</v>
      </c>
      <c r="M7" s="102" t="s">
        <v>1049</v>
      </c>
      <c r="N7" s="21"/>
    </row>
    <row r="8" spans="1:14" ht="15.75" x14ac:dyDescent="0.25">
      <c r="A8" s="60">
        <v>5</v>
      </c>
      <c r="B8" s="60">
        <v>2</v>
      </c>
      <c r="C8" s="113">
        <v>43738</v>
      </c>
      <c r="D8" s="114" t="s">
        <v>366</v>
      </c>
      <c r="E8" s="111" t="s">
        <v>857</v>
      </c>
      <c r="F8" s="111" t="s">
        <v>1046</v>
      </c>
      <c r="G8" s="111" t="s">
        <v>1048</v>
      </c>
      <c r="H8" s="111" t="s">
        <v>722</v>
      </c>
      <c r="I8" s="121">
        <v>0.41805555555555557</v>
      </c>
      <c r="J8" s="21">
        <v>2.04</v>
      </c>
      <c r="K8" s="121">
        <v>0.62986111111111109</v>
      </c>
      <c r="L8" s="21">
        <v>2.41</v>
      </c>
      <c r="M8" s="102"/>
      <c r="N8" s="21"/>
    </row>
    <row r="9" spans="1:14" ht="15.75" x14ac:dyDescent="0.25">
      <c r="A9" s="60">
        <v>6</v>
      </c>
      <c r="B9" s="60">
        <v>2</v>
      </c>
      <c r="C9" s="113">
        <v>43739</v>
      </c>
      <c r="D9" s="114" t="s">
        <v>367</v>
      </c>
      <c r="E9" s="111" t="s">
        <v>1045</v>
      </c>
      <c r="F9" s="111" t="s">
        <v>1048</v>
      </c>
      <c r="G9" s="111" t="s">
        <v>907</v>
      </c>
      <c r="H9" s="111" t="s">
        <v>861</v>
      </c>
      <c r="I9" s="121">
        <v>0.39444444444444443</v>
      </c>
      <c r="J9" s="21">
        <v>0.97</v>
      </c>
      <c r="K9" s="121">
        <v>0.59652777777777777</v>
      </c>
      <c r="L9" s="21">
        <v>1.47</v>
      </c>
      <c r="M9" s="102"/>
      <c r="N9" s="21"/>
    </row>
    <row r="10" spans="1:14" ht="15.75" x14ac:dyDescent="0.25">
      <c r="A10" s="60">
        <v>7</v>
      </c>
      <c r="B10" s="60">
        <v>2</v>
      </c>
      <c r="C10" s="113">
        <v>43740</v>
      </c>
      <c r="D10" s="114" t="s">
        <v>365</v>
      </c>
      <c r="E10" s="111" t="s">
        <v>1045</v>
      </c>
      <c r="F10" s="111" t="s">
        <v>906</v>
      </c>
      <c r="G10" s="111" t="s">
        <v>1047</v>
      </c>
      <c r="H10" s="111" t="s">
        <v>861</v>
      </c>
      <c r="I10" s="121">
        <v>0.38541666666666669</v>
      </c>
      <c r="J10" s="21">
        <v>2.48</v>
      </c>
      <c r="K10" s="121">
        <v>0.59027777777777779</v>
      </c>
      <c r="L10" s="21">
        <v>2.4900000000000002</v>
      </c>
      <c r="M10" s="102"/>
      <c r="N10" s="21"/>
    </row>
    <row r="11" spans="1:14" ht="15.75" x14ac:dyDescent="0.25">
      <c r="A11" s="60">
        <v>8</v>
      </c>
      <c r="B11" s="60">
        <v>2</v>
      </c>
      <c r="C11" s="113">
        <v>43741</v>
      </c>
      <c r="D11" s="114" t="s">
        <v>360</v>
      </c>
      <c r="E11" s="111" t="s">
        <v>1046</v>
      </c>
      <c r="F11" s="111" t="s">
        <v>1023</v>
      </c>
      <c r="G11" s="111" t="s">
        <v>907</v>
      </c>
      <c r="H11" s="111" t="s">
        <v>731</v>
      </c>
      <c r="I11" s="121">
        <v>0.3972222222222222</v>
      </c>
      <c r="J11" s="21">
        <v>3.35</v>
      </c>
      <c r="K11" s="121">
        <v>0.54583333333333328</v>
      </c>
      <c r="L11" s="21">
        <v>2.74</v>
      </c>
      <c r="M11" s="102"/>
      <c r="N11" s="21"/>
    </row>
    <row r="12" spans="1:14" ht="15.75" x14ac:dyDescent="0.25">
      <c r="A12" s="60">
        <v>9</v>
      </c>
      <c r="B12" s="60">
        <v>2</v>
      </c>
      <c r="C12" s="113">
        <v>43742</v>
      </c>
      <c r="D12" s="114" t="s">
        <v>361</v>
      </c>
      <c r="E12" s="111" t="s">
        <v>1045</v>
      </c>
      <c r="F12" s="111" t="s">
        <v>857</v>
      </c>
      <c r="G12" s="111" t="s">
        <v>1023</v>
      </c>
      <c r="H12" s="111" t="s">
        <v>861</v>
      </c>
      <c r="I12" s="121">
        <v>0.3756944444444445</v>
      </c>
      <c r="J12" s="21">
        <v>1.73</v>
      </c>
      <c r="K12" s="121">
        <v>0.4604166666666667</v>
      </c>
      <c r="L12" s="21">
        <v>1.82</v>
      </c>
      <c r="M12" s="102"/>
      <c r="N12" s="21"/>
    </row>
    <row r="13" spans="1:14" ht="15.75" x14ac:dyDescent="0.25">
      <c r="A13" s="60">
        <v>10</v>
      </c>
      <c r="B13" s="60">
        <v>2</v>
      </c>
      <c r="C13" s="98">
        <v>43742</v>
      </c>
      <c r="D13" s="117" t="s">
        <v>363</v>
      </c>
      <c r="E13" s="111" t="s">
        <v>1047</v>
      </c>
      <c r="F13" s="111" t="s">
        <v>906</v>
      </c>
      <c r="G13" s="111" t="s">
        <v>1046</v>
      </c>
      <c r="H13" s="111" t="s">
        <v>861</v>
      </c>
      <c r="I13" s="121">
        <v>0.38125000000000003</v>
      </c>
      <c r="J13" s="21">
        <v>3.08</v>
      </c>
      <c r="K13" s="121">
        <v>0.54791666666666672</v>
      </c>
      <c r="L13" s="21">
        <v>2.7</v>
      </c>
      <c r="M13" s="102" t="s">
        <v>1050</v>
      </c>
      <c r="N13" s="21"/>
    </row>
    <row r="14" spans="1:14" ht="15.75" x14ac:dyDescent="0.25">
      <c r="A14" s="60">
        <v>11</v>
      </c>
      <c r="B14" s="60">
        <v>3</v>
      </c>
      <c r="C14" s="113">
        <v>43753</v>
      </c>
      <c r="D14" s="114" t="s">
        <v>366</v>
      </c>
      <c r="E14" s="111" t="s">
        <v>1046</v>
      </c>
      <c r="F14" s="111" t="s">
        <v>907</v>
      </c>
      <c r="G14" s="111" t="s">
        <v>1023</v>
      </c>
      <c r="H14" s="111" t="s">
        <v>861</v>
      </c>
      <c r="I14" s="121">
        <v>0.40208333333333335</v>
      </c>
      <c r="J14" s="21">
        <v>3.46</v>
      </c>
      <c r="K14" s="121">
        <v>0.57500000000000007</v>
      </c>
      <c r="L14" s="21">
        <v>2.85</v>
      </c>
      <c r="M14" s="102"/>
      <c r="N14" s="21"/>
    </row>
    <row r="15" spans="1:14" ht="15.75" x14ac:dyDescent="0.25">
      <c r="A15" s="60">
        <v>12</v>
      </c>
      <c r="B15" s="60">
        <v>3</v>
      </c>
      <c r="C15" s="113">
        <v>43754</v>
      </c>
      <c r="D15" s="114" t="s">
        <v>367</v>
      </c>
      <c r="E15" s="111" t="s">
        <v>1047</v>
      </c>
      <c r="F15" s="111" t="s">
        <v>857</v>
      </c>
      <c r="G15" s="111" t="s">
        <v>1048</v>
      </c>
      <c r="H15" s="111" t="s">
        <v>731</v>
      </c>
      <c r="I15" s="121">
        <v>0.39027777777777778</v>
      </c>
      <c r="J15" s="21">
        <v>1.52</v>
      </c>
      <c r="K15" s="121">
        <v>0.52708333333333335</v>
      </c>
      <c r="L15" s="21">
        <v>2.69</v>
      </c>
      <c r="M15" s="102"/>
      <c r="N15" s="21"/>
    </row>
    <row r="16" spans="1:14" ht="15.75" x14ac:dyDescent="0.25">
      <c r="A16" s="60">
        <v>13</v>
      </c>
      <c r="B16" s="60">
        <v>3</v>
      </c>
      <c r="C16" s="113">
        <v>43755</v>
      </c>
      <c r="D16" s="114" t="s">
        <v>365</v>
      </c>
      <c r="E16" s="111" t="s">
        <v>1048</v>
      </c>
      <c r="F16" s="111" t="s">
        <v>857</v>
      </c>
      <c r="G16" s="111" t="s">
        <v>906</v>
      </c>
      <c r="H16" s="111" t="s">
        <v>861</v>
      </c>
      <c r="I16" s="121">
        <v>0.37152777777777773</v>
      </c>
      <c r="J16" s="21">
        <v>3.28</v>
      </c>
      <c r="K16" s="121">
        <v>0.55347222222222225</v>
      </c>
      <c r="L16" s="21">
        <v>3.72</v>
      </c>
      <c r="M16" s="102"/>
      <c r="N16" s="21"/>
    </row>
    <row r="17" spans="1:15" ht="15.75" x14ac:dyDescent="0.25">
      <c r="A17" s="60">
        <v>14</v>
      </c>
      <c r="B17" s="60">
        <v>3</v>
      </c>
      <c r="C17" s="113">
        <v>43755</v>
      </c>
      <c r="D17" s="114" t="s">
        <v>360</v>
      </c>
      <c r="E17" s="111" t="s">
        <v>1023</v>
      </c>
      <c r="F17" s="111" t="s">
        <v>907</v>
      </c>
      <c r="G17" s="111" t="s">
        <v>1045</v>
      </c>
      <c r="H17" s="111" t="s">
        <v>861</v>
      </c>
      <c r="I17" s="121">
        <v>0.41111111111111115</v>
      </c>
      <c r="J17" s="21">
        <v>5.12</v>
      </c>
      <c r="K17" s="121">
        <v>0.32847222222222222</v>
      </c>
      <c r="L17" s="21">
        <v>1.92</v>
      </c>
      <c r="M17" s="102"/>
      <c r="N17" s="21"/>
    </row>
    <row r="18" spans="1:15" ht="15.75" x14ac:dyDescent="0.25">
      <c r="A18" s="60">
        <v>15</v>
      </c>
      <c r="B18" s="60">
        <v>3</v>
      </c>
      <c r="C18" s="113">
        <v>43756</v>
      </c>
      <c r="D18" s="114" t="s">
        <v>361</v>
      </c>
      <c r="E18" s="111" t="s">
        <v>907</v>
      </c>
      <c r="F18" s="111" t="s">
        <v>1046</v>
      </c>
      <c r="G18" s="111" t="s">
        <v>1045</v>
      </c>
      <c r="H18" s="111" t="s">
        <v>731</v>
      </c>
      <c r="I18" s="121">
        <v>0.37708333333333338</v>
      </c>
      <c r="J18" s="21">
        <v>1.6</v>
      </c>
      <c r="K18" s="121">
        <v>0.49722222222222223</v>
      </c>
      <c r="L18" s="21">
        <v>1.85</v>
      </c>
      <c r="M18" s="102" t="s">
        <v>1051</v>
      </c>
      <c r="N18" s="21"/>
    </row>
    <row r="19" spans="1:15" ht="15.75" x14ac:dyDescent="0.25">
      <c r="A19" s="60">
        <v>16</v>
      </c>
      <c r="B19" s="60">
        <v>3</v>
      </c>
      <c r="C19" s="113">
        <v>43756</v>
      </c>
      <c r="D19" s="114" t="s">
        <v>363</v>
      </c>
      <c r="E19" s="111" t="s">
        <v>906</v>
      </c>
      <c r="F19" s="111" t="s">
        <v>1023</v>
      </c>
      <c r="G19" s="111" t="s">
        <v>1047</v>
      </c>
      <c r="H19" s="111" t="s">
        <v>722</v>
      </c>
      <c r="I19" s="121">
        <v>0.3840277777777778</v>
      </c>
      <c r="J19" s="21">
        <v>1.32</v>
      </c>
      <c r="K19" s="121">
        <v>0.50694444444444442</v>
      </c>
      <c r="L19" s="21">
        <v>1.84</v>
      </c>
      <c r="M19" s="102"/>
      <c r="N19" s="21"/>
    </row>
    <row r="20" spans="1:15" ht="15.75" x14ac:dyDescent="0.25">
      <c r="A20" s="59">
        <v>17</v>
      </c>
      <c r="B20" s="59">
        <v>4</v>
      </c>
      <c r="C20" s="113">
        <v>43774</v>
      </c>
      <c r="D20" s="114" t="s">
        <v>365</v>
      </c>
      <c r="E20" s="111" t="s">
        <v>906</v>
      </c>
      <c r="F20" s="111" t="s">
        <v>1046</v>
      </c>
      <c r="G20" s="111" t="s">
        <v>1045</v>
      </c>
      <c r="H20" s="111" t="s">
        <v>861</v>
      </c>
      <c r="I20" s="121">
        <v>0.4458333333333333</v>
      </c>
      <c r="J20" s="21">
        <v>3.03</v>
      </c>
      <c r="K20" s="121">
        <v>0.59027777777777779</v>
      </c>
      <c r="L20" s="21">
        <v>3.92</v>
      </c>
      <c r="M20" s="102"/>
      <c r="N20" s="21"/>
    </row>
    <row r="21" spans="1:15" ht="15.75" x14ac:dyDescent="0.25">
      <c r="A21" s="59">
        <v>18</v>
      </c>
      <c r="B21" s="59">
        <v>4</v>
      </c>
      <c r="C21" s="113">
        <v>43775</v>
      </c>
      <c r="D21" s="114" t="s">
        <v>360</v>
      </c>
      <c r="E21" s="111" t="s">
        <v>1047</v>
      </c>
      <c r="F21" s="111" t="s">
        <v>1023</v>
      </c>
      <c r="G21" s="111" t="s">
        <v>907</v>
      </c>
      <c r="H21" s="111" t="s">
        <v>861</v>
      </c>
      <c r="I21" s="121">
        <v>0.4465277777777778</v>
      </c>
      <c r="J21" s="21">
        <v>3.47</v>
      </c>
      <c r="K21" s="121">
        <v>0.5756944444444444</v>
      </c>
      <c r="L21" s="21">
        <v>1.99</v>
      </c>
      <c r="M21" s="102"/>
      <c r="N21" s="21"/>
    </row>
    <row r="22" spans="1:15" ht="15.75" x14ac:dyDescent="0.25">
      <c r="A22" s="59">
        <v>19</v>
      </c>
      <c r="B22" s="59">
        <v>4</v>
      </c>
      <c r="C22" s="113">
        <v>43776</v>
      </c>
      <c r="D22" s="114" t="s">
        <v>367</v>
      </c>
      <c r="E22" s="111" t="s">
        <v>1046</v>
      </c>
      <c r="F22" s="111" t="s">
        <v>1023</v>
      </c>
      <c r="G22" s="111" t="s">
        <v>907</v>
      </c>
      <c r="H22" s="111" t="s">
        <v>861</v>
      </c>
      <c r="I22" s="121">
        <v>0.4291666666666667</v>
      </c>
      <c r="J22" s="21">
        <v>1.55</v>
      </c>
      <c r="K22" s="121">
        <v>0.52013888888888882</v>
      </c>
      <c r="L22" s="21">
        <v>2.2799999999999998</v>
      </c>
      <c r="M22" s="102"/>
      <c r="N22" s="21"/>
    </row>
    <row r="23" spans="1:15" ht="15.75" x14ac:dyDescent="0.25">
      <c r="A23" s="59">
        <v>20</v>
      </c>
      <c r="B23" s="59">
        <v>4</v>
      </c>
      <c r="C23" s="113">
        <v>43777</v>
      </c>
      <c r="D23" s="114" t="s">
        <v>366</v>
      </c>
      <c r="E23" s="111" t="s">
        <v>1023</v>
      </c>
      <c r="F23" s="111" t="s">
        <v>1047</v>
      </c>
      <c r="G23" s="111" t="s">
        <v>1046</v>
      </c>
      <c r="H23" s="111" t="s">
        <v>861</v>
      </c>
      <c r="I23" s="121">
        <v>0.40347222222222223</v>
      </c>
      <c r="J23" s="21">
        <v>2.54</v>
      </c>
      <c r="K23" s="121">
        <v>0.55902777777777779</v>
      </c>
      <c r="L23" s="21">
        <v>1.89</v>
      </c>
      <c r="M23" s="102" t="s">
        <v>1052</v>
      </c>
      <c r="N23" s="21"/>
    </row>
    <row r="24" spans="1:15" ht="15.75" x14ac:dyDescent="0.25">
      <c r="A24" s="111"/>
      <c r="B24" s="111"/>
      <c r="C24" s="111"/>
      <c r="D24" s="111"/>
      <c r="E24" s="111"/>
      <c r="F24" s="111"/>
      <c r="G24" s="111"/>
      <c r="H24" s="111"/>
      <c r="I24" s="111"/>
      <c r="J24" s="111"/>
      <c r="K24" s="111"/>
      <c r="L24" s="111"/>
      <c r="M24" s="104"/>
      <c r="N24" s="111"/>
    </row>
    <row r="25" spans="1:15" x14ac:dyDescent="0.25">
      <c r="A25" s="1"/>
      <c r="B25" s="1"/>
      <c r="C25" s="1"/>
      <c r="D25" s="1"/>
      <c r="E25" s="1"/>
      <c r="F25" s="2"/>
      <c r="G25" s="1"/>
      <c r="H25" s="1"/>
      <c r="I25" s="1"/>
      <c r="J25" s="1"/>
      <c r="K25" s="1"/>
      <c r="L25" s="1"/>
      <c r="M25" s="34"/>
      <c r="N25" s="1"/>
    </row>
    <row r="26" spans="1:15" x14ac:dyDescent="0.25">
      <c r="A26" s="75"/>
      <c r="B26" s="75"/>
      <c r="C26" s="75"/>
      <c r="D26" s="75"/>
      <c r="E26" s="75"/>
      <c r="F26" s="76"/>
      <c r="G26" s="75"/>
      <c r="H26" s="75"/>
      <c r="I26" s="75"/>
      <c r="J26" s="75"/>
      <c r="K26" s="75"/>
      <c r="L26" s="75"/>
      <c r="M26" s="77"/>
      <c r="N26" s="75"/>
      <c r="O26" s="72"/>
    </row>
    <row r="27" spans="1:15" ht="19.5" x14ac:dyDescent="0.3">
      <c r="A27" s="75"/>
      <c r="B27" s="75"/>
      <c r="C27" s="73"/>
      <c r="D27" s="74"/>
      <c r="E27" s="75"/>
      <c r="F27" s="75"/>
      <c r="G27" s="75"/>
      <c r="H27" s="75"/>
      <c r="I27" s="78"/>
      <c r="J27" s="75"/>
      <c r="K27" s="75"/>
      <c r="L27" s="75"/>
      <c r="M27" s="77"/>
      <c r="N27" s="75"/>
      <c r="O27" s="72"/>
    </row>
    <row r="28" spans="1:15" x14ac:dyDescent="0.25">
      <c r="A28" s="75"/>
      <c r="B28" s="75"/>
      <c r="C28" s="79"/>
      <c r="D28" s="80"/>
      <c r="E28" s="80"/>
      <c r="F28" s="80"/>
      <c r="G28" s="81"/>
      <c r="H28" s="81"/>
      <c r="I28" s="81"/>
      <c r="J28" s="75"/>
      <c r="K28" s="75"/>
      <c r="L28" s="75"/>
      <c r="M28" s="77"/>
      <c r="N28" s="75"/>
      <c r="O28" s="72"/>
    </row>
    <row r="29" spans="1:15" x14ac:dyDescent="0.25">
      <c r="A29" s="75"/>
      <c r="B29" s="75"/>
      <c r="C29" s="82"/>
      <c r="D29" s="75"/>
      <c r="E29" s="75"/>
      <c r="F29" s="82"/>
      <c r="G29" s="82"/>
      <c r="H29" s="82"/>
      <c r="I29" s="82"/>
      <c r="J29" s="75"/>
      <c r="K29" s="75"/>
      <c r="L29" s="75"/>
      <c r="M29" s="77"/>
      <c r="N29" s="75"/>
      <c r="O29" s="72"/>
    </row>
    <row r="30" spans="1:15" x14ac:dyDescent="0.25">
      <c r="A30" s="75"/>
      <c r="B30" s="75"/>
      <c r="C30" s="82"/>
      <c r="D30" s="75"/>
      <c r="E30" s="75"/>
      <c r="F30" s="82"/>
      <c r="G30" s="82"/>
      <c r="H30" s="82"/>
      <c r="I30" s="82"/>
      <c r="J30" s="75"/>
      <c r="K30" s="75"/>
      <c r="L30" s="75"/>
      <c r="M30" s="77"/>
      <c r="N30" s="75"/>
      <c r="O30" s="72"/>
    </row>
    <row r="31" spans="1:15" x14ac:dyDescent="0.25">
      <c r="A31" s="75"/>
      <c r="B31" s="75"/>
      <c r="C31" s="82"/>
      <c r="D31" s="75"/>
      <c r="E31" s="75"/>
      <c r="F31" s="82"/>
      <c r="G31" s="82"/>
      <c r="H31" s="82"/>
      <c r="I31" s="82"/>
      <c r="J31" s="75"/>
      <c r="K31" s="75"/>
      <c r="L31" s="75"/>
      <c r="M31" s="77"/>
      <c r="N31" s="75"/>
      <c r="O31" s="72"/>
    </row>
    <row r="32" spans="1:15" x14ac:dyDescent="0.25">
      <c r="A32" s="75"/>
      <c r="B32" s="75"/>
      <c r="C32" s="75"/>
      <c r="D32" s="75"/>
      <c r="E32" s="75"/>
      <c r="F32" s="75"/>
      <c r="G32" s="82"/>
      <c r="H32" s="82"/>
      <c r="I32" s="82"/>
      <c r="J32" s="75"/>
      <c r="K32" s="75"/>
      <c r="L32" s="75"/>
      <c r="M32" s="77"/>
      <c r="N32" s="75"/>
      <c r="O32" s="72"/>
    </row>
    <row r="33" spans="1:15" x14ac:dyDescent="0.25">
      <c r="A33" s="75"/>
      <c r="B33" s="75"/>
      <c r="C33" s="75"/>
      <c r="D33" s="75"/>
      <c r="E33" s="75"/>
      <c r="F33" s="76"/>
      <c r="G33" s="75"/>
      <c r="H33" s="75"/>
      <c r="I33" s="75"/>
      <c r="J33" s="75"/>
      <c r="K33" s="75"/>
      <c r="L33" s="75"/>
      <c r="M33" s="77"/>
      <c r="N33" s="75"/>
      <c r="O33" s="72"/>
    </row>
    <row r="34" spans="1:15" x14ac:dyDescent="0.25">
      <c r="A34" s="75"/>
      <c r="B34" s="75"/>
      <c r="C34" s="83"/>
      <c r="D34" s="77"/>
      <c r="E34" s="75"/>
      <c r="F34" s="76"/>
      <c r="G34" s="75"/>
      <c r="H34" s="75"/>
      <c r="I34" s="75"/>
      <c r="J34" s="75"/>
      <c r="K34" s="75"/>
      <c r="L34" s="75"/>
      <c r="M34" s="77"/>
      <c r="N34" s="75"/>
      <c r="O34" s="72"/>
    </row>
    <row r="35" spans="1:15" x14ac:dyDescent="0.25">
      <c r="A35" s="75"/>
      <c r="B35" s="75"/>
      <c r="C35" s="83"/>
      <c r="D35" s="77"/>
      <c r="E35" s="75"/>
      <c r="F35" s="76"/>
      <c r="G35" s="75"/>
      <c r="H35" s="75"/>
      <c r="I35" s="75"/>
      <c r="J35" s="75"/>
      <c r="K35" s="75"/>
      <c r="L35" s="75"/>
      <c r="M35" s="77"/>
      <c r="N35" s="75"/>
      <c r="O35" s="72"/>
    </row>
    <row r="36" spans="1:15" x14ac:dyDescent="0.25">
      <c r="A36" s="75"/>
      <c r="B36" s="75"/>
      <c r="C36" s="83"/>
      <c r="D36" s="77"/>
      <c r="E36" s="75"/>
      <c r="F36" s="76"/>
      <c r="G36" s="75"/>
      <c r="H36" s="75"/>
      <c r="I36" s="75"/>
      <c r="J36" s="75"/>
      <c r="K36" s="75"/>
      <c r="L36" s="75"/>
      <c r="M36" s="77"/>
      <c r="N36" s="75"/>
      <c r="O36" s="72"/>
    </row>
    <row r="37" spans="1:15" x14ac:dyDescent="0.25">
      <c r="A37" s="75"/>
      <c r="B37" s="75"/>
      <c r="C37" s="75"/>
      <c r="D37" s="75"/>
      <c r="E37" s="75"/>
      <c r="F37" s="76"/>
      <c r="G37" s="75"/>
      <c r="H37" s="75"/>
      <c r="I37" s="75"/>
      <c r="J37" s="75"/>
      <c r="K37" s="75"/>
      <c r="L37" s="75"/>
      <c r="M37" s="77"/>
      <c r="N37" s="75"/>
      <c r="O37" s="72"/>
    </row>
    <row r="38" spans="1:15" x14ac:dyDescent="0.25">
      <c r="A38" s="75"/>
      <c r="B38" s="75"/>
      <c r="C38" s="75"/>
      <c r="D38" s="75"/>
      <c r="E38" s="75"/>
      <c r="F38" s="75"/>
      <c r="G38" s="75"/>
      <c r="H38" s="75"/>
      <c r="I38" s="75"/>
      <c r="J38" s="75"/>
      <c r="K38" s="75"/>
      <c r="L38" s="75"/>
      <c r="M38" s="77"/>
      <c r="N38" s="75"/>
      <c r="O38" s="72"/>
    </row>
    <row r="39" spans="1:15" x14ac:dyDescent="0.25">
      <c r="A39" s="75"/>
      <c r="B39" s="75"/>
      <c r="C39" s="75"/>
      <c r="D39" s="75"/>
      <c r="E39" s="75"/>
      <c r="F39" s="75"/>
      <c r="G39" s="75"/>
      <c r="H39" s="75"/>
      <c r="I39" s="75"/>
      <c r="J39" s="75"/>
      <c r="K39" s="75"/>
      <c r="L39" s="75"/>
      <c r="M39" s="77"/>
      <c r="N39" s="75"/>
      <c r="O39" s="72"/>
    </row>
    <row r="40" spans="1:15" x14ac:dyDescent="0.25">
      <c r="A40" s="75"/>
      <c r="B40" s="75"/>
      <c r="C40" s="75"/>
      <c r="D40" s="75"/>
      <c r="E40" s="75"/>
      <c r="F40" s="75"/>
      <c r="G40" s="75"/>
      <c r="H40" s="75"/>
      <c r="I40" s="75"/>
      <c r="J40" s="75"/>
      <c r="K40" s="75"/>
      <c r="L40" s="75"/>
      <c r="M40" s="77"/>
      <c r="N40" s="75"/>
      <c r="O40" s="72"/>
    </row>
  </sheetData>
  <conditionalFormatting sqref="G29:I32">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F084B-5B6D-4420-A2DB-AE778FFD1A14}">
  <dimension ref="A1:N24"/>
  <sheetViews>
    <sheetView workbookViewId="0">
      <selection activeCell="B16" sqref="B16"/>
    </sheetView>
  </sheetViews>
  <sheetFormatPr defaultRowHeight="15" x14ac:dyDescent="0.25"/>
  <cols>
    <col min="1" max="1" width="12.7109375" customWidth="1"/>
    <col min="3" max="3" width="19.85546875" bestFit="1" customWidth="1"/>
    <col min="7" max="7" width="13.85546875" customWidth="1"/>
    <col min="8" max="8" width="21.85546875" bestFit="1" customWidth="1"/>
    <col min="13" max="13" width="83" bestFit="1" customWidth="1"/>
  </cols>
  <sheetData>
    <row r="1" spans="1:13" ht="15.75" x14ac:dyDescent="0.25">
      <c r="A1" s="48" t="s">
        <v>1083</v>
      </c>
      <c r="B1" s="48"/>
      <c r="C1" s="44"/>
      <c r="D1" s="44"/>
      <c r="E1" s="44"/>
      <c r="F1" s="44"/>
      <c r="G1" s="44"/>
      <c r="H1" s="44"/>
    </row>
    <row r="2" spans="1:13" ht="15.75" x14ac:dyDescent="0.25">
      <c r="A2" s="49" t="s">
        <v>1</v>
      </c>
      <c r="B2" s="49"/>
      <c r="C2" s="44"/>
      <c r="D2" s="44"/>
      <c r="E2" s="44" t="s">
        <v>2</v>
      </c>
      <c r="F2" s="44"/>
      <c r="G2" s="44"/>
      <c r="H2" s="44" t="s">
        <v>3</v>
      </c>
    </row>
    <row r="3" spans="1:13" ht="31.5" x14ac:dyDescent="0.25">
      <c r="A3" s="85" t="s">
        <v>4</v>
      </c>
      <c r="B3" s="85" t="s">
        <v>601</v>
      </c>
      <c r="C3" s="86" t="s">
        <v>5</v>
      </c>
      <c r="D3" s="85" t="s">
        <v>351</v>
      </c>
      <c r="E3" s="85" t="s">
        <v>1140</v>
      </c>
      <c r="F3" s="85" t="s">
        <v>850</v>
      </c>
      <c r="G3" s="85" t="s">
        <v>851</v>
      </c>
      <c r="H3" s="85" t="s">
        <v>708</v>
      </c>
      <c r="I3" s="87" t="s">
        <v>768</v>
      </c>
      <c r="J3" s="85" t="s">
        <v>769</v>
      </c>
      <c r="K3" s="85" t="s">
        <v>605</v>
      </c>
      <c r="L3" s="85" t="s">
        <v>606</v>
      </c>
      <c r="M3" s="88" t="s">
        <v>709</v>
      </c>
    </row>
    <row r="4" spans="1:13" ht="15.75" x14ac:dyDescent="0.25">
      <c r="A4" s="89">
        <v>1</v>
      </c>
      <c r="B4" s="89">
        <v>1</v>
      </c>
      <c r="C4" s="90">
        <v>44075</v>
      </c>
      <c r="D4" s="89" t="s">
        <v>365</v>
      </c>
      <c r="E4" s="89" t="s">
        <v>1053</v>
      </c>
      <c r="F4" s="89" t="s">
        <v>1054</v>
      </c>
      <c r="G4" s="89" t="s">
        <v>907</v>
      </c>
      <c r="H4" s="89" t="s">
        <v>861</v>
      </c>
      <c r="I4" s="95">
        <v>0.37092592592592594</v>
      </c>
      <c r="J4" s="89">
        <v>2.11</v>
      </c>
      <c r="K4" s="95">
        <v>0.57171296296296303</v>
      </c>
      <c r="L4" s="89">
        <v>1.38</v>
      </c>
      <c r="M4" s="96"/>
    </row>
    <row r="5" spans="1:13" ht="15.75" x14ac:dyDescent="0.25">
      <c r="A5" s="89">
        <v>2</v>
      </c>
      <c r="B5" s="89">
        <v>1</v>
      </c>
      <c r="C5" s="90">
        <v>44076</v>
      </c>
      <c r="D5" s="89" t="s">
        <v>735</v>
      </c>
      <c r="E5" s="89" t="s">
        <v>1055</v>
      </c>
      <c r="F5" s="89" t="s">
        <v>1046</v>
      </c>
      <c r="G5" s="89" t="s">
        <v>857</v>
      </c>
      <c r="H5" s="89" t="s">
        <v>861</v>
      </c>
      <c r="I5" s="95">
        <v>0.40484953703703702</v>
      </c>
      <c r="J5" s="89">
        <v>1.39</v>
      </c>
      <c r="K5" s="95">
        <v>0.62462962962962965</v>
      </c>
      <c r="L5" s="89">
        <v>1.98</v>
      </c>
      <c r="M5" s="96"/>
    </row>
    <row r="6" spans="1:13" ht="15.75" x14ac:dyDescent="0.25">
      <c r="A6" s="89">
        <v>3</v>
      </c>
      <c r="B6" s="89">
        <v>1</v>
      </c>
      <c r="C6" s="90">
        <v>44078</v>
      </c>
      <c r="D6" s="89" t="s">
        <v>738</v>
      </c>
      <c r="E6" s="89" t="s">
        <v>1046</v>
      </c>
      <c r="F6" s="89" t="s">
        <v>1054</v>
      </c>
      <c r="G6" s="89" t="s">
        <v>907</v>
      </c>
      <c r="H6" s="89" t="s">
        <v>861</v>
      </c>
      <c r="I6" s="95">
        <v>0.33134259259259252</v>
      </c>
      <c r="J6" s="89">
        <v>1.85</v>
      </c>
      <c r="K6" s="95">
        <v>0.41666666666666669</v>
      </c>
      <c r="L6" s="89">
        <v>2.08</v>
      </c>
      <c r="M6" s="96" t="s">
        <v>1139</v>
      </c>
    </row>
    <row r="7" spans="1:13" ht="15.75" x14ac:dyDescent="0.25">
      <c r="A7" s="89">
        <v>4</v>
      </c>
      <c r="B7" s="89">
        <v>1</v>
      </c>
      <c r="C7" s="90">
        <v>44078</v>
      </c>
      <c r="D7" s="89" t="s">
        <v>367</v>
      </c>
      <c r="E7" s="89" t="s">
        <v>1046</v>
      </c>
      <c r="F7" s="89" t="s">
        <v>1054</v>
      </c>
      <c r="G7" s="89" t="s">
        <v>907</v>
      </c>
      <c r="H7" s="89" t="s">
        <v>861</v>
      </c>
      <c r="I7" s="95">
        <v>0.41666666666666669</v>
      </c>
      <c r="J7" s="89">
        <v>2.08</v>
      </c>
      <c r="K7" s="95">
        <v>0.6095370370370371</v>
      </c>
      <c r="L7" s="89">
        <v>2.31</v>
      </c>
      <c r="M7" s="96" t="s">
        <v>1056</v>
      </c>
    </row>
    <row r="8" spans="1:13" ht="15.75" x14ac:dyDescent="0.25">
      <c r="A8" s="89">
        <v>5</v>
      </c>
      <c r="B8" s="89">
        <v>1</v>
      </c>
      <c r="C8" s="90">
        <v>44102</v>
      </c>
      <c r="D8" s="89" t="s">
        <v>360</v>
      </c>
      <c r="E8" s="89" t="s">
        <v>1046</v>
      </c>
      <c r="F8" s="89" t="s">
        <v>857</v>
      </c>
      <c r="G8" s="89" t="s">
        <v>1054</v>
      </c>
      <c r="H8" s="89" t="s">
        <v>861</v>
      </c>
      <c r="I8" s="95">
        <v>0.40554398148148146</v>
      </c>
      <c r="J8" s="89">
        <v>2.9</v>
      </c>
      <c r="K8" s="95">
        <v>0.55759259259259253</v>
      </c>
      <c r="L8" s="89">
        <v>2.39</v>
      </c>
      <c r="M8" s="96"/>
    </row>
    <row r="9" spans="1:13" ht="15.75" x14ac:dyDescent="0.25">
      <c r="A9" s="89">
        <v>6</v>
      </c>
      <c r="B9" s="89">
        <v>1</v>
      </c>
      <c r="C9" s="90">
        <v>44111</v>
      </c>
      <c r="D9" s="89" t="s">
        <v>363</v>
      </c>
      <c r="E9" s="89" t="s">
        <v>907</v>
      </c>
      <c r="F9" s="89" t="s">
        <v>1053</v>
      </c>
      <c r="G9" s="89" t="s">
        <v>1055</v>
      </c>
      <c r="H9" s="89" t="s">
        <v>861</v>
      </c>
      <c r="I9" s="95">
        <v>0.3774189814814814</v>
      </c>
      <c r="J9" s="89">
        <v>1.18</v>
      </c>
      <c r="K9" s="95">
        <v>0.56003472222222228</v>
      </c>
      <c r="L9" s="89">
        <v>2.2200000000000002</v>
      </c>
      <c r="M9" s="96" t="s">
        <v>1057</v>
      </c>
    </row>
    <row r="10" spans="1:13" ht="15.75" x14ac:dyDescent="0.25">
      <c r="A10" s="89">
        <v>7</v>
      </c>
      <c r="B10" s="89">
        <v>1</v>
      </c>
      <c r="C10" s="90">
        <v>44118</v>
      </c>
      <c r="D10" s="89" t="s">
        <v>361</v>
      </c>
      <c r="E10" s="89" t="s">
        <v>1046</v>
      </c>
      <c r="F10" s="89" t="s">
        <v>857</v>
      </c>
      <c r="G10" s="89" t="s">
        <v>1058</v>
      </c>
      <c r="H10" s="89" t="s">
        <v>861</v>
      </c>
      <c r="I10" s="95">
        <v>0.42890046296296297</v>
      </c>
      <c r="J10" s="89">
        <v>1.75</v>
      </c>
      <c r="K10" s="95">
        <v>0.55190972222222223</v>
      </c>
      <c r="L10" s="89">
        <v>2.1800000000000002</v>
      </c>
      <c r="M10" s="96"/>
    </row>
    <row r="11" spans="1:13" ht="15.75" x14ac:dyDescent="0.25">
      <c r="A11" s="89">
        <v>8</v>
      </c>
      <c r="B11" s="89">
        <v>2</v>
      </c>
      <c r="C11" s="90">
        <v>44137</v>
      </c>
      <c r="D11" s="89" t="s">
        <v>735</v>
      </c>
      <c r="E11" s="89" t="s">
        <v>857</v>
      </c>
      <c r="F11" s="89" t="s">
        <v>1054</v>
      </c>
      <c r="G11" s="89" t="s">
        <v>1058</v>
      </c>
      <c r="H11" s="89" t="s">
        <v>861</v>
      </c>
      <c r="I11" s="95">
        <v>0.37361111111111112</v>
      </c>
      <c r="J11" s="89">
        <v>1.24</v>
      </c>
      <c r="K11" s="95">
        <v>0.56041666666666667</v>
      </c>
      <c r="L11" s="89">
        <v>1.35</v>
      </c>
      <c r="M11" s="96"/>
    </row>
    <row r="12" spans="1:13" ht="15.75" x14ac:dyDescent="0.25">
      <c r="A12" s="89">
        <v>9</v>
      </c>
      <c r="B12" s="89">
        <v>2</v>
      </c>
      <c r="C12" s="90">
        <v>44138</v>
      </c>
      <c r="D12" s="97" t="s">
        <v>365</v>
      </c>
      <c r="E12" s="89" t="s">
        <v>854</v>
      </c>
      <c r="F12" s="89" t="s">
        <v>1053</v>
      </c>
      <c r="G12" s="89" t="s">
        <v>1047</v>
      </c>
      <c r="H12" s="89" t="s">
        <v>861</v>
      </c>
      <c r="I12" s="95">
        <v>0.38263888888888892</v>
      </c>
      <c r="J12" s="89">
        <v>1.83</v>
      </c>
      <c r="K12" s="95">
        <v>0.56736111111111109</v>
      </c>
      <c r="L12" s="89">
        <v>3.07</v>
      </c>
      <c r="M12" s="96"/>
    </row>
    <row r="13" spans="1:13" ht="15.75" x14ac:dyDescent="0.25">
      <c r="A13" s="89">
        <v>10</v>
      </c>
      <c r="B13" s="89">
        <v>2</v>
      </c>
      <c r="C13" s="90">
        <v>44139</v>
      </c>
      <c r="D13" s="89" t="s">
        <v>738</v>
      </c>
      <c r="E13" s="89" t="s">
        <v>857</v>
      </c>
      <c r="F13" s="89" t="s">
        <v>1054</v>
      </c>
      <c r="G13" s="89" t="s">
        <v>1058</v>
      </c>
      <c r="H13" s="89" t="s">
        <v>861</v>
      </c>
      <c r="I13" s="95">
        <v>0.375</v>
      </c>
      <c r="J13" s="89">
        <v>1.27</v>
      </c>
      <c r="K13" s="95">
        <v>0.5</v>
      </c>
      <c r="L13" s="89">
        <v>1.46</v>
      </c>
      <c r="M13" s="96" t="s">
        <v>1059</v>
      </c>
    </row>
    <row r="14" spans="1:13" ht="15.75" x14ac:dyDescent="0.25">
      <c r="A14" s="89">
        <v>11</v>
      </c>
      <c r="B14" s="89">
        <v>2</v>
      </c>
      <c r="C14" s="98">
        <v>44139</v>
      </c>
      <c r="D14" s="89" t="s">
        <v>367</v>
      </c>
      <c r="E14" s="89" t="s">
        <v>857</v>
      </c>
      <c r="F14" s="89" t="s">
        <v>1054</v>
      </c>
      <c r="G14" s="89" t="s">
        <v>1058</v>
      </c>
      <c r="H14" s="89" t="s">
        <v>861</v>
      </c>
      <c r="I14" s="95">
        <v>0.5</v>
      </c>
      <c r="J14" s="89">
        <v>1.46</v>
      </c>
      <c r="K14" s="95">
        <v>0.64166666666666672</v>
      </c>
      <c r="L14" s="89">
        <v>1.81</v>
      </c>
      <c r="M14" s="96" t="s">
        <v>1060</v>
      </c>
    </row>
    <row r="15" spans="1:13" ht="15.75" x14ac:dyDescent="0.25">
      <c r="A15" s="99">
        <v>12</v>
      </c>
      <c r="B15" s="99">
        <v>2</v>
      </c>
      <c r="C15" s="98">
        <v>44140</v>
      </c>
      <c r="D15" s="97" t="s">
        <v>360</v>
      </c>
      <c r="E15" s="89" t="s">
        <v>907</v>
      </c>
      <c r="F15" s="89" t="s">
        <v>1055</v>
      </c>
      <c r="G15" s="89" t="s">
        <v>1061</v>
      </c>
      <c r="H15" s="89" t="s">
        <v>861</v>
      </c>
      <c r="I15" s="95">
        <v>0.39652777777777781</v>
      </c>
      <c r="J15" s="89">
        <v>2.76</v>
      </c>
      <c r="K15" s="95">
        <v>0.61875000000000002</v>
      </c>
      <c r="L15" s="89">
        <v>3.25</v>
      </c>
      <c r="M15" s="96"/>
    </row>
    <row r="16" spans="1:13" ht="15.75" x14ac:dyDescent="0.25">
      <c r="A16" s="100"/>
      <c r="B16" s="100"/>
      <c r="C16" s="90"/>
      <c r="D16" s="91"/>
      <c r="E16" s="92"/>
      <c r="F16" s="92"/>
      <c r="G16" s="92"/>
      <c r="H16" s="92"/>
      <c r="I16" s="93"/>
      <c r="J16" s="100"/>
      <c r="K16" s="93"/>
      <c r="L16" s="100"/>
      <c r="M16" s="94"/>
    </row>
    <row r="17" spans="1:14" ht="15.75" x14ac:dyDescent="0.25">
      <c r="A17" s="89"/>
      <c r="B17" s="89"/>
      <c r="C17" s="89"/>
      <c r="D17" s="89"/>
      <c r="E17" s="89"/>
      <c r="F17" s="101"/>
      <c r="G17" s="89"/>
      <c r="H17" s="89"/>
      <c r="I17" s="89"/>
      <c r="J17" s="89"/>
      <c r="K17" s="102"/>
      <c r="L17" s="103"/>
      <c r="M17" s="104"/>
    </row>
    <row r="18" spans="1:14" ht="15.75" x14ac:dyDescent="0.25">
      <c r="A18" s="89"/>
      <c r="B18" s="89"/>
      <c r="C18" s="105"/>
      <c r="D18" s="106"/>
      <c r="E18" s="89"/>
      <c r="F18" s="89"/>
      <c r="G18" s="89"/>
      <c r="H18" s="89"/>
      <c r="I18" s="107"/>
      <c r="J18" s="89"/>
      <c r="K18" s="102"/>
      <c r="L18" s="103"/>
      <c r="M18" s="104"/>
    </row>
    <row r="19" spans="1:14" ht="15.75" x14ac:dyDescent="0.25">
      <c r="A19" s="89"/>
      <c r="B19" s="89"/>
      <c r="C19" s="108"/>
      <c r="D19" s="109"/>
      <c r="E19" s="109"/>
      <c r="F19" s="109"/>
      <c r="G19" s="110"/>
      <c r="H19" s="110"/>
      <c r="I19" s="110"/>
      <c r="J19" s="89"/>
      <c r="K19" s="111"/>
      <c r="L19" s="111"/>
      <c r="M19" s="104"/>
    </row>
    <row r="20" spans="1:14" ht="15.75" x14ac:dyDescent="0.25">
      <c r="A20" s="89"/>
      <c r="B20" s="89"/>
      <c r="C20" s="97"/>
      <c r="D20" s="95"/>
      <c r="E20" s="95"/>
      <c r="F20" s="97"/>
      <c r="G20" s="97"/>
      <c r="H20" s="97"/>
      <c r="I20" s="97"/>
      <c r="J20" s="89"/>
      <c r="K20" s="136"/>
      <c r="L20" s="177"/>
      <c r="M20" s="115"/>
      <c r="N20" s="62"/>
    </row>
    <row r="21" spans="1:14" ht="15.75" x14ac:dyDescent="0.25">
      <c r="A21" s="89"/>
      <c r="B21" s="89"/>
      <c r="C21" s="97"/>
      <c r="D21" s="112"/>
      <c r="E21" s="112"/>
      <c r="F21" s="97"/>
      <c r="G21" s="97"/>
      <c r="H21" s="97"/>
      <c r="I21" s="97"/>
      <c r="J21" s="89"/>
      <c r="K21" s="136"/>
      <c r="L21" s="177"/>
      <c r="M21" s="115"/>
      <c r="N21" s="62"/>
    </row>
    <row r="22" spans="1:14" ht="15.75" x14ac:dyDescent="0.25">
      <c r="A22" s="89"/>
      <c r="B22" s="89"/>
      <c r="C22" s="97"/>
      <c r="D22" s="112"/>
      <c r="E22" s="112"/>
      <c r="F22" s="97"/>
      <c r="G22" s="97"/>
      <c r="H22" s="97"/>
      <c r="I22" s="97"/>
      <c r="J22" s="89"/>
      <c r="K22" s="136"/>
      <c r="L22" s="177"/>
      <c r="M22" s="115"/>
      <c r="N22" s="62"/>
    </row>
    <row r="23" spans="1:14" ht="15.75" x14ac:dyDescent="0.25">
      <c r="A23" s="89"/>
      <c r="B23" s="89"/>
      <c r="C23" s="97"/>
      <c r="D23" s="89"/>
      <c r="E23" s="89"/>
      <c r="F23" s="97"/>
      <c r="G23" s="97"/>
      <c r="H23" s="97"/>
      <c r="I23" s="97"/>
      <c r="J23" s="89"/>
      <c r="K23" s="102"/>
      <c r="L23" s="103"/>
      <c r="M23" s="104"/>
    </row>
    <row r="24" spans="1:14" ht="15.75" x14ac:dyDescent="0.25">
      <c r="A24" s="89"/>
      <c r="B24" s="89"/>
      <c r="C24" s="89"/>
      <c r="D24" s="89"/>
      <c r="E24" s="89"/>
      <c r="F24" s="89"/>
      <c r="G24" s="97"/>
      <c r="H24" s="97"/>
      <c r="I24" s="97"/>
      <c r="J24" s="89"/>
      <c r="K24" s="102"/>
      <c r="L24" s="103"/>
      <c r="M24" s="104"/>
    </row>
  </sheetData>
  <conditionalFormatting sqref="G20:I20">
    <cfRule type="colorScale" priority="1">
      <colorScale>
        <cfvo type="min"/>
        <cfvo type="percentile" val="50"/>
        <cfvo type="max"/>
        <color rgb="FFF8696B"/>
        <color rgb="FFFFEB84"/>
        <color rgb="FF63BE7B"/>
      </colorScale>
    </cfRule>
  </conditionalFormatting>
  <conditionalFormatting sqref="G21:I24">
    <cfRule type="colorScale" priority="2">
      <colorScale>
        <cfvo type="min"/>
        <cfvo type="percentile" val="50"/>
        <cfvo type="max"/>
        <color rgb="FFF8696B"/>
        <color rgb="FFFFEB84"/>
        <color rgb="FF63BE7B"/>
      </colorScale>
    </cfRule>
  </conditionalFormatting>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003E5-6C6B-4F56-A54D-642E2B7B384A}">
  <dimension ref="A1:O77"/>
  <sheetViews>
    <sheetView zoomScale="90" zoomScaleNormal="90" workbookViewId="0">
      <selection activeCell="J31" sqref="J31"/>
    </sheetView>
  </sheetViews>
  <sheetFormatPr defaultRowHeight="15" x14ac:dyDescent="0.25"/>
  <cols>
    <col min="1" max="1" width="20.28515625" style="51" customWidth="1"/>
    <col min="2" max="2" width="12" style="39" customWidth="1"/>
    <col min="3" max="3" width="11.42578125" style="39" bestFit="1" customWidth="1"/>
    <col min="4" max="4" width="8.28515625" style="39" bestFit="1" customWidth="1"/>
    <col min="5" max="5" width="20.42578125" style="39" bestFit="1" customWidth="1"/>
    <col min="6" max="6" width="9.140625" style="39"/>
    <col min="7" max="7" width="11" style="39" bestFit="1" customWidth="1"/>
    <col min="8" max="8" width="22.140625" style="39" bestFit="1" customWidth="1"/>
    <col min="9" max="9" width="11.85546875" style="39" bestFit="1" customWidth="1"/>
    <col min="10" max="10" width="9.28515625" style="39" bestFit="1" customWidth="1"/>
    <col min="11" max="11" width="11.85546875" style="39" bestFit="1" customWidth="1"/>
    <col min="12" max="12" width="9.28515625" style="39" bestFit="1" customWidth="1"/>
    <col min="13" max="13" width="63.28515625" style="182" bestFit="1" customWidth="1"/>
    <col min="14" max="14" width="16.7109375" style="39" bestFit="1" customWidth="1"/>
    <col min="15" max="16384" width="9.140625" style="39"/>
  </cols>
  <sheetData>
    <row r="1" spans="1:15" ht="15.75" x14ac:dyDescent="0.25">
      <c r="A1" s="48" t="s">
        <v>1082</v>
      </c>
      <c r="B1" s="48"/>
      <c r="C1" s="44"/>
      <c r="D1" s="44"/>
      <c r="E1" s="44"/>
      <c r="F1" s="44"/>
      <c r="G1" s="44"/>
      <c r="H1" s="44"/>
    </row>
    <row r="2" spans="1:15" ht="15.75" x14ac:dyDescent="0.25">
      <c r="A2" s="49" t="s">
        <v>1</v>
      </c>
      <c r="B2" s="49"/>
      <c r="C2" s="44"/>
      <c r="D2" s="44"/>
      <c r="E2" s="44" t="s">
        <v>2</v>
      </c>
      <c r="F2" s="44"/>
      <c r="G2" s="44"/>
      <c r="H2" s="44" t="s">
        <v>3</v>
      </c>
    </row>
    <row r="3" spans="1:15" s="174" customFormat="1" ht="15.75" x14ac:dyDescent="0.25">
      <c r="A3" s="178" t="s">
        <v>4</v>
      </c>
      <c r="B3" s="178" t="s">
        <v>601</v>
      </c>
      <c r="C3" s="179" t="s">
        <v>5</v>
      </c>
      <c r="D3" s="178" t="s">
        <v>351</v>
      </c>
      <c r="E3" s="178" t="s">
        <v>1062</v>
      </c>
      <c r="F3" s="178" t="s">
        <v>850</v>
      </c>
      <c r="G3" s="178" t="s">
        <v>851</v>
      </c>
      <c r="H3" s="178" t="s">
        <v>708</v>
      </c>
      <c r="I3" s="180" t="s">
        <v>768</v>
      </c>
      <c r="J3" s="178" t="s">
        <v>769</v>
      </c>
      <c r="K3" s="178" t="s">
        <v>605</v>
      </c>
      <c r="L3" s="178" t="s">
        <v>606</v>
      </c>
      <c r="M3" s="181" t="s">
        <v>709</v>
      </c>
      <c r="N3" s="178" t="s">
        <v>1063</v>
      </c>
      <c r="O3" s="178"/>
    </row>
    <row r="4" spans="1:15" x14ac:dyDescent="0.25">
      <c r="A4" s="51">
        <v>1</v>
      </c>
      <c r="B4" s="39">
        <v>1</v>
      </c>
      <c r="C4" s="183">
        <v>44466.673171296294</v>
      </c>
      <c r="D4" s="39" t="s">
        <v>366</v>
      </c>
      <c r="E4" s="39" t="s">
        <v>1054</v>
      </c>
      <c r="F4" s="39" t="s">
        <v>1064</v>
      </c>
      <c r="G4" s="39" t="s">
        <v>1046</v>
      </c>
      <c r="H4" s="39" t="s">
        <v>861</v>
      </c>
      <c r="I4" s="184">
        <f t="shared" ref="I4:I12" si="0">MOD(C4+(-7/24),1)</f>
        <v>0.3815046296294895</v>
      </c>
      <c r="J4" s="39">
        <v>2.62</v>
      </c>
      <c r="K4" s="184">
        <f t="shared" ref="K4:K12" si="1">MOD(N4+(-7/24),1)</f>
        <v>0.53869212963036261</v>
      </c>
      <c r="L4" s="39">
        <v>1.18</v>
      </c>
      <c r="M4" s="182" t="s">
        <v>1070</v>
      </c>
      <c r="N4" s="184">
        <v>44466.830358796295</v>
      </c>
      <c r="O4" s="51"/>
    </row>
    <row r="5" spans="1:15" x14ac:dyDescent="0.25">
      <c r="A5" s="51">
        <v>2</v>
      </c>
      <c r="B5" s="39">
        <v>1</v>
      </c>
      <c r="C5" s="183">
        <v>44467.651620370372</v>
      </c>
      <c r="D5" s="39" t="s">
        <v>367</v>
      </c>
      <c r="E5" s="39" t="s">
        <v>1055</v>
      </c>
      <c r="F5" s="39" t="s">
        <v>1058</v>
      </c>
      <c r="G5" s="39" t="s">
        <v>1046</v>
      </c>
      <c r="H5" s="39" t="s">
        <v>861</v>
      </c>
      <c r="I5" s="184">
        <f t="shared" si="0"/>
        <v>0.35995370370801538</v>
      </c>
      <c r="J5" s="39">
        <v>0</v>
      </c>
      <c r="K5" s="184">
        <f t="shared" si="1"/>
        <v>0.58163194444932742</v>
      </c>
      <c r="L5" s="39">
        <v>0</v>
      </c>
      <c r="M5" s="182" t="s">
        <v>1071</v>
      </c>
      <c r="N5" s="184">
        <v>44467.873298611114</v>
      </c>
      <c r="O5" s="51"/>
    </row>
    <row r="6" spans="1:15" x14ac:dyDescent="0.25">
      <c r="A6" s="51">
        <v>3</v>
      </c>
      <c r="B6" s="39">
        <v>1</v>
      </c>
      <c r="C6" s="183">
        <v>44468.659756944442</v>
      </c>
      <c r="D6" s="39" t="s">
        <v>365</v>
      </c>
      <c r="E6" s="39" t="s">
        <v>1054</v>
      </c>
      <c r="F6" s="39" t="s">
        <v>1066</v>
      </c>
      <c r="G6" s="39" t="s">
        <v>1053</v>
      </c>
      <c r="H6" s="39" t="s">
        <v>861</v>
      </c>
      <c r="I6" s="184">
        <f t="shared" si="0"/>
        <v>0.36809027777781012</v>
      </c>
      <c r="J6" s="39">
        <v>1.51</v>
      </c>
      <c r="K6" s="184">
        <f t="shared" si="1"/>
        <v>0.53171296296204673</v>
      </c>
      <c r="L6" s="39">
        <v>1.36</v>
      </c>
      <c r="N6" s="184">
        <v>44468.823379629626</v>
      </c>
      <c r="O6" s="51"/>
    </row>
    <row r="7" spans="1:15" x14ac:dyDescent="0.25">
      <c r="A7" s="51">
        <v>4</v>
      </c>
      <c r="B7" s="39">
        <v>1</v>
      </c>
      <c r="C7" s="183">
        <v>44469.708333333336</v>
      </c>
      <c r="D7" s="39" t="s">
        <v>361</v>
      </c>
      <c r="E7" s="39" t="s">
        <v>865</v>
      </c>
      <c r="F7" s="39" t="s">
        <v>907</v>
      </c>
      <c r="G7" s="39" t="s">
        <v>1066</v>
      </c>
      <c r="H7" s="39" t="s">
        <v>861</v>
      </c>
      <c r="I7" s="184">
        <f t="shared" si="0"/>
        <v>0.41666666667151731</v>
      </c>
      <c r="J7" s="39">
        <v>0</v>
      </c>
      <c r="K7" s="184">
        <f t="shared" si="1"/>
        <v>0.51936342592671281</v>
      </c>
      <c r="L7" s="39">
        <v>2.41</v>
      </c>
      <c r="N7" s="184">
        <v>44469.811030092591</v>
      </c>
      <c r="O7" s="51"/>
    </row>
    <row r="8" spans="1:15" x14ac:dyDescent="0.25">
      <c r="A8" s="51">
        <v>5</v>
      </c>
      <c r="B8" s="39">
        <v>1</v>
      </c>
      <c r="C8" s="183">
        <v>44469.666666666664</v>
      </c>
      <c r="D8" s="39" t="s">
        <v>360</v>
      </c>
      <c r="E8" s="39" t="s">
        <v>1054</v>
      </c>
      <c r="F8" s="39" t="s">
        <v>1055</v>
      </c>
      <c r="G8" s="39" t="s">
        <v>1064</v>
      </c>
      <c r="H8" s="39" t="s">
        <v>861</v>
      </c>
      <c r="I8" s="184">
        <f t="shared" si="0"/>
        <v>0.375</v>
      </c>
      <c r="J8" s="39">
        <v>2.0299999999999998</v>
      </c>
      <c r="K8" s="184">
        <f t="shared" si="1"/>
        <v>0.60416666667151731</v>
      </c>
      <c r="L8" s="39">
        <v>1.66</v>
      </c>
      <c r="N8" s="184">
        <v>44469.895833333336</v>
      </c>
      <c r="O8" s="51"/>
    </row>
    <row r="9" spans="1:15" x14ac:dyDescent="0.25">
      <c r="A9" s="51">
        <v>6</v>
      </c>
      <c r="B9" s="39">
        <v>1</v>
      </c>
      <c r="C9" s="183">
        <v>44470.649976851855</v>
      </c>
      <c r="D9" s="39" t="s">
        <v>363</v>
      </c>
      <c r="E9" s="39" t="s">
        <v>1065</v>
      </c>
      <c r="F9" s="39" t="s">
        <v>1055</v>
      </c>
      <c r="G9" s="39" t="s">
        <v>1066</v>
      </c>
      <c r="H9" s="39" t="s">
        <v>861</v>
      </c>
      <c r="I9" s="184">
        <f t="shared" si="0"/>
        <v>0.3583101851909305</v>
      </c>
      <c r="J9" s="39">
        <v>1.39</v>
      </c>
      <c r="K9" s="184">
        <f t="shared" si="1"/>
        <v>0.49070601852145046</v>
      </c>
      <c r="L9" s="39">
        <v>1.1200000000000001</v>
      </c>
      <c r="N9" s="184">
        <v>44470.782372685186</v>
      </c>
      <c r="O9" s="51"/>
    </row>
    <row r="10" spans="1:15" x14ac:dyDescent="0.25">
      <c r="A10" s="51">
        <v>7</v>
      </c>
      <c r="B10" s="39">
        <v>2</v>
      </c>
      <c r="C10" s="183">
        <v>44487.728194444448</v>
      </c>
      <c r="D10" s="39" t="s">
        <v>366</v>
      </c>
      <c r="E10" s="39" t="s">
        <v>1064</v>
      </c>
      <c r="F10" s="39" t="s">
        <v>907</v>
      </c>
      <c r="G10" s="39" t="s">
        <v>1067</v>
      </c>
      <c r="H10" s="39" t="s">
        <v>722</v>
      </c>
      <c r="I10" s="184">
        <f t="shared" si="0"/>
        <v>0.43652777778333984</v>
      </c>
      <c r="J10" s="39">
        <v>2.04</v>
      </c>
      <c r="K10" s="184">
        <f t="shared" si="1"/>
        <v>0.54630787037604023</v>
      </c>
      <c r="L10" s="39">
        <v>2.35</v>
      </c>
      <c r="N10" s="184">
        <v>44487.83797453704</v>
      </c>
      <c r="O10" s="51"/>
    </row>
    <row r="11" spans="1:15" x14ac:dyDescent="0.25">
      <c r="A11" s="51">
        <v>8</v>
      </c>
      <c r="B11" s="39">
        <v>2</v>
      </c>
      <c r="C11" s="183">
        <v>44488.673564814817</v>
      </c>
      <c r="D11" s="39" t="s">
        <v>365</v>
      </c>
      <c r="E11" s="39" t="s">
        <v>1067</v>
      </c>
      <c r="F11" s="39" t="s">
        <v>1066</v>
      </c>
      <c r="G11" s="39" t="s">
        <v>1053</v>
      </c>
      <c r="H11" s="39" t="s">
        <v>731</v>
      </c>
      <c r="I11" s="184">
        <f t="shared" si="0"/>
        <v>0.38189814815268619</v>
      </c>
      <c r="J11" s="39">
        <v>3.57</v>
      </c>
      <c r="K11" s="184">
        <f t="shared" si="1"/>
        <v>0.56565972222597338</v>
      </c>
      <c r="L11" s="39">
        <v>3.73</v>
      </c>
      <c r="N11" s="184">
        <v>44488.85732638889</v>
      </c>
      <c r="O11" s="51"/>
    </row>
    <row r="12" spans="1:15" x14ac:dyDescent="0.25">
      <c r="A12" s="51">
        <v>9</v>
      </c>
      <c r="B12" s="39">
        <v>2</v>
      </c>
      <c r="C12" s="183">
        <v>44488.680671296293</v>
      </c>
      <c r="D12" s="39" t="s">
        <v>367</v>
      </c>
      <c r="E12" s="39" t="s">
        <v>1054</v>
      </c>
      <c r="F12" s="39" t="s">
        <v>1058</v>
      </c>
      <c r="G12" s="39" t="s">
        <v>1055</v>
      </c>
      <c r="H12" s="39" t="s">
        <v>722</v>
      </c>
      <c r="I12" s="184">
        <f t="shared" si="0"/>
        <v>0.38900462962919846</v>
      </c>
      <c r="J12" s="39">
        <v>1.1000000000000001</v>
      </c>
      <c r="K12" s="184">
        <f t="shared" si="1"/>
        <v>0.65969907407998107</v>
      </c>
      <c r="L12" s="39">
        <v>2.17</v>
      </c>
      <c r="N12" s="184">
        <v>44488.951365740744</v>
      </c>
      <c r="O12" s="51"/>
    </row>
    <row r="13" spans="1:15" x14ac:dyDescent="0.25">
      <c r="A13" s="51">
        <v>10</v>
      </c>
      <c r="B13" s="39">
        <v>2</v>
      </c>
      <c r="C13" s="183">
        <v>44489.697916666664</v>
      </c>
      <c r="D13" s="39" t="s">
        <v>360</v>
      </c>
      <c r="E13" s="39" t="s">
        <v>1046</v>
      </c>
      <c r="F13" s="39" t="s">
        <v>1054</v>
      </c>
      <c r="G13" s="39" t="s">
        <v>1066</v>
      </c>
      <c r="H13" s="39" t="s">
        <v>722</v>
      </c>
      <c r="I13" s="184">
        <f t="shared" ref="I13:I19" si="2">MOD(C13+(-7/24),1)</f>
        <v>0.40625</v>
      </c>
      <c r="J13" s="39">
        <v>1.36</v>
      </c>
      <c r="K13" s="184">
        <f t="shared" ref="K13:K19" si="3">MOD(N13+(-7/24),1)</f>
        <v>0.56594907407998107</v>
      </c>
      <c r="L13" s="39">
        <v>1.06</v>
      </c>
      <c r="N13" s="184">
        <v>44489.857615740744</v>
      </c>
      <c r="O13" s="51"/>
    </row>
    <row r="14" spans="1:15" x14ac:dyDescent="0.25">
      <c r="A14" s="51">
        <v>11</v>
      </c>
      <c r="B14" s="39">
        <v>3</v>
      </c>
      <c r="C14" s="183">
        <v>44501.683981481481</v>
      </c>
      <c r="D14" s="39" t="s">
        <v>366</v>
      </c>
      <c r="E14" s="39" t="s">
        <v>1067</v>
      </c>
      <c r="F14" s="39" t="s">
        <v>1054</v>
      </c>
      <c r="G14" s="39" t="s">
        <v>1055</v>
      </c>
      <c r="H14" s="39" t="s">
        <v>1072</v>
      </c>
      <c r="I14" s="184">
        <f t="shared" si="2"/>
        <v>0.39231481481692754</v>
      </c>
      <c r="J14" s="39">
        <v>1.71</v>
      </c>
      <c r="K14" s="184">
        <f t="shared" si="3"/>
        <v>0.4519212962986785</v>
      </c>
      <c r="L14" s="39">
        <v>1.91</v>
      </c>
      <c r="N14" s="184">
        <v>44501.743587962963</v>
      </c>
      <c r="O14" s="51"/>
    </row>
    <row r="15" spans="1:15" x14ac:dyDescent="0.25">
      <c r="A15" s="51">
        <v>12</v>
      </c>
      <c r="B15" s="39">
        <v>3</v>
      </c>
      <c r="C15" s="183">
        <v>44502.666666666664</v>
      </c>
      <c r="D15" s="39" t="s">
        <v>365</v>
      </c>
      <c r="E15" s="39" t="s">
        <v>865</v>
      </c>
      <c r="F15" s="39" t="s">
        <v>1066</v>
      </c>
      <c r="G15" s="39" t="s">
        <v>1053</v>
      </c>
      <c r="H15" s="39" t="s">
        <v>731</v>
      </c>
      <c r="I15" s="184">
        <f t="shared" si="2"/>
        <v>0.375</v>
      </c>
      <c r="J15" s="39">
        <v>0</v>
      </c>
      <c r="K15" s="184">
        <f t="shared" si="3"/>
        <v>0.70833333333575865</v>
      </c>
      <c r="L15" s="39">
        <v>0</v>
      </c>
      <c r="M15" s="182" t="s">
        <v>1071</v>
      </c>
      <c r="N15" s="184">
        <v>44502</v>
      </c>
      <c r="O15" s="51"/>
    </row>
    <row r="16" spans="1:15" x14ac:dyDescent="0.25">
      <c r="A16" s="51">
        <v>13</v>
      </c>
      <c r="B16" s="39">
        <v>3</v>
      </c>
      <c r="C16" s="183">
        <v>44502.664988425924</v>
      </c>
      <c r="D16" s="39" t="s">
        <v>367</v>
      </c>
      <c r="E16" s="39" t="s">
        <v>1055</v>
      </c>
      <c r="F16" s="39" t="s">
        <v>907</v>
      </c>
      <c r="G16" s="39" t="s">
        <v>1064</v>
      </c>
      <c r="H16" s="39" t="s">
        <v>722</v>
      </c>
      <c r="I16" s="184">
        <f t="shared" si="2"/>
        <v>0.37332175925985212</v>
      </c>
      <c r="J16" s="39">
        <v>0</v>
      </c>
      <c r="K16" s="184">
        <f t="shared" si="3"/>
        <v>0.53222222222393611</v>
      </c>
      <c r="L16" s="39">
        <v>0</v>
      </c>
      <c r="M16" s="182" t="s">
        <v>1071</v>
      </c>
      <c r="N16" s="184">
        <v>44502.823888888888</v>
      </c>
      <c r="O16" s="51"/>
    </row>
    <row r="17" spans="1:15" x14ac:dyDescent="0.25">
      <c r="A17" s="51">
        <v>14</v>
      </c>
      <c r="B17" s="39">
        <v>3</v>
      </c>
      <c r="C17" s="183">
        <v>44503.678784722222</v>
      </c>
      <c r="D17" s="39" t="s">
        <v>360</v>
      </c>
      <c r="E17" s="39" t="s">
        <v>1054</v>
      </c>
      <c r="F17" s="39" t="s">
        <v>1067</v>
      </c>
      <c r="G17" s="39" t="s">
        <v>1066</v>
      </c>
      <c r="H17" s="39" t="s">
        <v>861</v>
      </c>
      <c r="I17" s="184">
        <f t="shared" si="2"/>
        <v>0.38711805555794854</v>
      </c>
      <c r="J17" s="39">
        <v>2.21</v>
      </c>
      <c r="K17" s="184">
        <f t="shared" si="3"/>
        <v>0.52157407407503342</v>
      </c>
      <c r="L17" s="39">
        <v>1.94</v>
      </c>
      <c r="N17" s="184">
        <v>44503.813240740739</v>
      </c>
      <c r="O17" s="51"/>
    </row>
    <row r="18" spans="1:15" x14ac:dyDescent="0.25">
      <c r="A18" s="51">
        <v>15</v>
      </c>
      <c r="B18" s="39">
        <v>3</v>
      </c>
      <c r="C18" s="183">
        <v>44505.698854166665</v>
      </c>
      <c r="D18" s="39" t="s">
        <v>363</v>
      </c>
      <c r="E18" s="39" t="s">
        <v>1064</v>
      </c>
      <c r="F18" s="39" t="s">
        <v>1068</v>
      </c>
      <c r="G18" s="39" t="s">
        <v>1054</v>
      </c>
      <c r="H18" s="39" t="s">
        <v>722</v>
      </c>
      <c r="I18" s="184">
        <f t="shared" si="2"/>
        <v>0.40718750000087311</v>
      </c>
      <c r="J18" s="39">
        <v>2.2000000000000002</v>
      </c>
      <c r="K18" s="184">
        <f t="shared" si="3"/>
        <v>0.57863425926188938</v>
      </c>
      <c r="L18" s="39">
        <v>0</v>
      </c>
      <c r="M18" s="182" t="s">
        <v>1069</v>
      </c>
      <c r="N18" s="184">
        <v>44505.870300925926</v>
      </c>
      <c r="O18" s="51"/>
    </row>
    <row r="19" spans="1:15" x14ac:dyDescent="0.25">
      <c r="A19" s="51">
        <v>16</v>
      </c>
      <c r="B19" s="39">
        <v>3</v>
      </c>
      <c r="C19" s="183">
        <v>44508.782430555555</v>
      </c>
      <c r="D19" s="39" t="s">
        <v>361</v>
      </c>
      <c r="E19" s="39" t="s">
        <v>1046</v>
      </c>
      <c r="F19" s="39" t="s">
        <v>1054</v>
      </c>
      <c r="G19" s="39" t="s">
        <v>1064</v>
      </c>
      <c r="H19" s="39" t="s">
        <v>722</v>
      </c>
      <c r="I19" s="184">
        <f t="shared" si="2"/>
        <v>0.49076388889079681</v>
      </c>
      <c r="J19" s="39">
        <v>1.73</v>
      </c>
      <c r="K19" s="184">
        <f t="shared" si="3"/>
        <v>0.61123842592496658</v>
      </c>
      <c r="L19" s="39">
        <v>1.48</v>
      </c>
      <c r="N19" s="184">
        <v>44508.902905092589</v>
      </c>
      <c r="O19" s="51"/>
    </row>
    <row r="20" spans="1:15" x14ac:dyDescent="0.25">
      <c r="B20" s="51"/>
      <c r="C20" s="51"/>
      <c r="D20" s="51"/>
      <c r="E20" s="51"/>
      <c r="F20" s="51"/>
      <c r="G20" s="51"/>
      <c r="H20" s="51"/>
      <c r="I20" s="51"/>
      <c r="J20" s="51"/>
      <c r="K20" s="51"/>
      <c r="L20" s="51"/>
      <c r="M20" s="185"/>
      <c r="N20" s="51"/>
      <c r="O20" s="51"/>
    </row>
    <row r="21" spans="1:15" x14ac:dyDescent="0.25">
      <c r="C21" s="183"/>
      <c r="I21" s="184"/>
      <c r="K21" s="184"/>
      <c r="N21" s="184"/>
      <c r="O21" s="51"/>
    </row>
    <row r="22" spans="1:15" x14ac:dyDescent="0.25">
      <c r="C22" s="183"/>
      <c r="I22" s="184"/>
      <c r="K22" s="184"/>
      <c r="N22" s="184"/>
      <c r="O22" s="51"/>
    </row>
    <row r="23" spans="1:15" x14ac:dyDescent="0.25">
      <c r="C23" s="183"/>
      <c r="I23" s="184"/>
      <c r="K23" s="184"/>
      <c r="N23" s="184"/>
      <c r="O23" s="51"/>
    </row>
    <row r="24" spans="1:15" x14ac:dyDescent="0.25">
      <c r="C24" s="183"/>
      <c r="I24" s="184"/>
      <c r="K24" s="184"/>
      <c r="N24" s="184"/>
      <c r="O24" s="51"/>
    </row>
    <row r="25" spans="1:15" x14ac:dyDescent="0.25">
      <c r="C25" s="183"/>
      <c r="I25" s="184"/>
      <c r="K25" s="184"/>
      <c r="N25" s="184"/>
      <c r="O25" s="51"/>
    </row>
    <row r="26" spans="1:15" x14ac:dyDescent="0.25">
      <c r="C26" s="183"/>
      <c r="I26" s="184"/>
      <c r="K26" s="184"/>
      <c r="N26" s="184"/>
      <c r="O26" s="51"/>
    </row>
    <row r="27" spans="1:15" x14ac:dyDescent="0.25">
      <c r="C27" s="183"/>
      <c r="I27" s="184"/>
      <c r="K27" s="184"/>
      <c r="N27" s="184"/>
      <c r="O27" s="51"/>
    </row>
    <row r="28" spans="1:15" x14ac:dyDescent="0.25">
      <c r="C28" s="183"/>
      <c r="I28" s="184"/>
      <c r="K28" s="184"/>
      <c r="N28" s="184"/>
      <c r="O28" s="51"/>
    </row>
    <row r="29" spans="1:15" x14ac:dyDescent="0.25">
      <c r="C29" s="183"/>
      <c r="I29" s="184"/>
      <c r="K29" s="184"/>
      <c r="N29" s="184"/>
      <c r="O29" s="51"/>
    </row>
    <row r="30" spans="1:15" x14ac:dyDescent="0.25">
      <c r="C30" s="183"/>
      <c r="I30" s="184"/>
      <c r="K30" s="184"/>
      <c r="N30" s="184"/>
      <c r="O30" s="51"/>
    </row>
    <row r="31" spans="1:15" x14ac:dyDescent="0.25">
      <c r="C31" s="183"/>
      <c r="I31" s="184"/>
      <c r="K31" s="184"/>
      <c r="N31" s="184"/>
      <c r="O31" s="51"/>
    </row>
    <row r="32" spans="1:15" x14ac:dyDescent="0.25">
      <c r="C32" s="183"/>
      <c r="I32" s="184"/>
      <c r="K32" s="184"/>
      <c r="N32" s="184"/>
      <c r="O32" s="51"/>
    </row>
    <row r="33" spans="3:15" x14ac:dyDescent="0.25">
      <c r="C33" s="183"/>
      <c r="I33" s="184"/>
      <c r="K33" s="184"/>
      <c r="N33" s="184"/>
      <c r="O33" s="51"/>
    </row>
    <row r="34" spans="3:15" x14ac:dyDescent="0.25">
      <c r="C34" s="183"/>
      <c r="I34" s="184"/>
      <c r="K34" s="184"/>
      <c r="N34" s="184"/>
      <c r="O34" s="51"/>
    </row>
    <row r="35" spans="3:15" x14ac:dyDescent="0.25">
      <c r="C35" s="183"/>
      <c r="I35" s="184"/>
      <c r="K35" s="184"/>
      <c r="N35" s="184"/>
      <c r="O35" s="51"/>
    </row>
    <row r="36" spans="3:15" x14ac:dyDescent="0.25">
      <c r="C36" s="183"/>
      <c r="I36" s="184"/>
      <c r="K36" s="184"/>
      <c r="N36" s="184"/>
      <c r="O36" s="51"/>
    </row>
    <row r="37" spans="3:15" x14ac:dyDescent="0.25">
      <c r="C37" s="183"/>
      <c r="I37" s="184"/>
      <c r="K37" s="184"/>
      <c r="N37" s="184"/>
      <c r="O37" s="51"/>
    </row>
    <row r="38" spans="3:15" x14ac:dyDescent="0.25">
      <c r="C38" s="183"/>
      <c r="I38" s="184"/>
      <c r="K38" s="184"/>
      <c r="N38" s="184"/>
      <c r="O38" s="51"/>
    </row>
    <row r="39" spans="3:15" x14ac:dyDescent="0.25">
      <c r="C39" s="183"/>
      <c r="I39" s="184"/>
      <c r="K39" s="184"/>
      <c r="N39" s="184"/>
      <c r="O39" s="51"/>
    </row>
    <row r="40" spans="3:15" x14ac:dyDescent="0.25">
      <c r="C40" s="183"/>
      <c r="I40" s="184"/>
      <c r="K40" s="184"/>
      <c r="N40" s="184"/>
      <c r="O40" s="51"/>
    </row>
    <row r="41" spans="3:15" x14ac:dyDescent="0.25">
      <c r="C41" s="183"/>
      <c r="I41" s="184"/>
      <c r="K41" s="184"/>
      <c r="N41" s="184"/>
      <c r="O41" s="51"/>
    </row>
    <row r="42" spans="3:15" x14ac:dyDescent="0.25">
      <c r="C42" s="183"/>
      <c r="I42" s="184"/>
      <c r="K42" s="184"/>
      <c r="N42" s="184"/>
      <c r="O42" s="51"/>
    </row>
    <row r="43" spans="3:15" x14ac:dyDescent="0.25">
      <c r="C43" s="183"/>
      <c r="I43" s="184"/>
      <c r="K43" s="184"/>
      <c r="N43" s="184"/>
      <c r="O43" s="51"/>
    </row>
    <row r="44" spans="3:15" x14ac:dyDescent="0.25">
      <c r="C44" s="183"/>
      <c r="I44" s="184"/>
      <c r="K44" s="184"/>
      <c r="N44" s="184"/>
      <c r="O44" s="51"/>
    </row>
    <row r="45" spans="3:15" x14ac:dyDescent="0.25">
      <c r="C45" s="183"/>
      <c r="I45" s="184"/>
      <c r="K45" s="184"/>
      <c r="N45" s="184"/>
      <c r="O45" s="51"/>
    </row>
    <row r="46" spans="3:15" x14ac:dyDescent="0.25">
      <c r="C46" s="183"/>
      <c r="I46" s="184"/>
      <c r="K46" s="184"/>
      <c r="N46" s="184"/>
      <c r="O46" s="51"/>
    </row>
    <row r="47" spans="3:15" x14ac:dyDescent="0.25">
      <c r="C47" s="183"/>
      <c r="I47" s="184"/>
      <c r="K47" s="184"/>
      <c r="N47" s="184"/>
      <c r="O47" s="51"/>
    </row>
    <row r="48" spans="3:15" x14ac:dyDescent="0.25">
      <c r="C48" s="183"/>
      <c r="I48" s="184"/>
      <c r="K48" s="184"/>
      <c r="N48" s="184"/>
      <c r="O48" s="51"/>
    </row>
    <row r="49" spans="3:15" x14ac:dyDescent="0.25">
      <c r="C49" s="183"/>
      <c r="I49" s="184"/>
      <c r="K49" s="184"/>
      <c r="N49" s="184"/>
      <c r="O49" s="51"/>
    </row>
    <row r="50" spans="3:15" x14ac:dyDescent="0.25">
      <c r="C50" s="183"/>
      <c r="I50" s="184"/>
      <c r="K50" s="184"/>
      <c r="N50" s="184"/>
      <c r="O50" s="51"/>
    </row>
    <row r="51" spans="3:15" x14ac:dyDescent="0.25">
      <c r="C51" s="183"/>
      <c r="I51" s="184"/>
      <c r="K51" s="184"/>
      <c r="N51" s="184"/>
      <c r="O51" s="51"/>
    </row>
    <row r="52" spans="3:15" x14ac:dyDescent="0.25">
      <c r="C52" s="183"/>
      <c r="I52" s="184"/>
      <c r="K52" s="184"/>
      <c r="N52" s="184"/>
      <c r="O52" s="51"/>
    </row>
    <row r="53" spans="3:15" x14ac:dyDescent="0.25">
      <c r="C53" s="183"/>
      <c r="I53" s="184"/>
      <c r="K53" s="184"/>
      <c r="N53" s="184"/>
      <c r="O53" s="51"/>
    </row>
    <row r="54" spans="3:15" x14ac:dyDescent="0.25">
      <c r="C54" s="183"/>
      <c r="I54" s="184"/>
      <c r="K54" s="184"/>
      <c r="N54" s="184"/>
      <c r="O54" s="51"/>
    </row>
    <row r="55" spans="3:15" x14ac:dyDescent="0.25">
      <c r="C55" s="183"/>
      <c r="I55" s="184"/>
      <c r="K55" s="184"/>
      <c r="N55" s="184"/>
      <c r="O55" s="51"/>
    </row>
    <row r="56" spans="3:15" x14ac:dyDescent="0.25">
      <c r="C56" s="183"/>
      <c r="I56" s="184"/>
      <c r="K56" s="184"/>
      <c r="N56" s="184"/>
      <c r="O56" s="51"/>
    </row>
    <row r="57" spans="3:15" x14ac:dyDescent="0.25">
      <c r="C57" s="183"/>
      <c r="I57" s="184"/>
      <c r="K57" s="184"/>
      <c r="N57" s="184"/>
      <c r="O57" s="51"/>
    </row>
    <row r="58" spans="3:15" x14ac:dyDescent="0.25">
      <c r="C58" s="183"/>
      <c r="I58" s="184"/>
      <c r="K58" s="184"/>
      <c r="N58" s="184"/>
      <c r="O58" s="51"/>
    </row>
    <row r="59" spans="3:15" x14ac:dyDescent="0.25">
      <c r="C59" s="183"/>
      <c r="I59" s="184"/>
      <c r="K59" s="184"/>
      <c r="N59" s="184"/>
      <c r="O59" s="51"/>
    </row>
    <row r="77" spans="2:15" x14ac:dyDescent="0.25">
      <c r="B77" s="51"/>
      <c r="C77" s="51"/>
      <c r="D77" s="51"/>
      <c r="E77" s="51"/>
      <c r="F77" s="51"/>
      <c r="G77" s="51"/>
      <c r="H77" s="51"/>
      <c r="I77" s="51"/>
      <c r="J77" s="51"/>
      <c r="K77" s="51"/>
      <c r="L77" s="51"/>
      <c r="M77" s="185"/>
      <c r="N77" s="51"/>
      <c r="O77" s="51"/>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FE3AB-9822-41D4-B1C2-2B318BDD03D0}">
  <dimension ref="A1:N18"/>
  <sheetViews>
    <sheetView workbookViewId="0">
      <selection activeCell="D15" sqref="D15"/>
    </sheetView>
  </sheetViews>
  <sheetFormatPr defaultRowHeight="15" x14ac:dyDescent="0.25"/>
  <cols>
    <col min="1" max="2" width="9.28515625" style="39" bestFit="1" customWidth="1"/>
    <col min="3" max="3" width="10.5703125" style="39" bestFit="1" customWidth="1"/>
    <col min="4" max="4" width="9.140625" style="39"/>
    <col min="5" max="5" width="20.7109375" style="39" bestFit="1" customWidth="1"/>
    <col min="6" max="6" width="9.140625" style="39"/>
    <col min="7" max="7" width="10.7109375" style="39" bestFit="1" customWidth="1"/>
    <col min="8" max="8" width="22.42578125" style="39" bestFit="1" customWidth="1"/>
    <col min="9" max="9" width="11.85546875" style="39" bestFit="1" customWidth="1"/>
    <col min="10" max="10" width="9.28515625" style="39" bestFit="1" customWidth="1"/>
    <col min="11" max="11" width="11.85546875" style="39" bestFit="1" customWidth="1"/>
    <col min="12" max="12" width="9.28515625" style="39" bestFit="1" customWidth="1"/>
    <col min="13" max="13" width="51.42578125" style="39" bestFit="1" customWidth="1"/>
    <col min="14" max="14" width="16.42578125" style="39" bestFit="1" customWidth="1"/>
    <col min="15" max="16384" width="9.140625" style="39"/>
  </cols>
  <sheetData>
    <row r="1" spans="1:14" ht="15.75" x14ac:dyDescent="0.25">
      <c r="A1" s="48" t="s">
        <v>1125</v>
      </c>
      <c r="B1" s="48"/>
      <c r="C1" s="44"/>
      <c r="D1" s="44"/>
      <c r="E1" s="44"/>
      <c r="F1" s="44"/>
      <c r="G1" s="44"/>
      <c r="H1" s="44"/>
    </row>
    <row r="2" spans="1:14" ht="15.75" x14ac:dyDescent="0.25">
      <c r="A2" s="49" t="s">
        <v>1</v>
      </c>
      <c r="B2" s="49"/>
      <c r="C2" s="44"/>
      <c r="D2" s="44"/>
      <c r="E2" s="44" t="s">
        <v>2</v>
      </c>
      <c r="F2" s="44"/>
      <c r="G2" s="44"/>
      <c r="H2" s="44" t="s">
        <v>3</v>
      </c>
    </row>
    <row r="3" spans="1:14" s="174" customFormat="1" ht="15.75" x14ac:dyDescent="0.25">
      <c r="A3" s="174" t="s">
        <v>4</v>
      </c>
      <c r="B3" s="178" t="s">
        <v>601</v>
      </c>
      <c r="C3" s="179" t="s">
        <v>5</v>
      </c>
      <c r="D3" s="178" t="s">
        <v>351</v>
      </c>
      <c r="E3" s="178" t="s">
        <v>1062</v>
      </c>
      <c r="F3" s="178" t="s">
        <v>850</v>
      </c>
      <c r="G3" s="178" t="s">
        <v>851</v>
      </c>
      <c r="H3" s="178" t="s">
        <v>708</v>
      </c>
      <c r="I3" s="180" t="s">
        <v>768</v>
      </c>
      <c r="J3" s="178" t="s">
        <v>769</v>
      </c>
      <c r="K3" s="178" t="s">
        <v>605</v>
      </c>
      <c r="L3" s="178" t="s">
        <v>606</v>
      </c>
      <c r="M3" s="181" t="s">
        <v>709</v>
      </c>
      <c r="N3" s="178" t="s">
        <v>1063</v>
      </c>
    </row>
    <row r="4" spans="1:14" x14ac:dyDescent="0.25">
      <c r="A4" s="39">
        <v>1</v>
      </c>
      <c r="B4" s="39">
        <v>1</v>
      </c>
      <c r="C4" s="183">
        <v>44817.677777777775</v>
      </c>
      <c r="D4" s="39" t="s">
        <v>738</v>
      </c>
      <c r="E4" s="39" t="s">
        <v>1054</v>
      </c>
      <c r="F4" s="39" t="s">
        <v>907</v>
      </c>
      <c r="G4" s="39" t="s">
        <v>854</v>
      </c>
      <c r="H4" s="39" t="s">
        <v>861</v>
      </c>
      <c r="I4" s="184">
        <f t="shared" ref="I4:I18" si="0">MOD(C4+(-7/24),1)</f>
        <v>0.38611111111094942</v>
      </c>
      <c r="J4" s="39">
        <v>2.15</v>
      </c>
      <c r="K4" s="184">
        <f t="shared" ref="K4:K14" si="1">MOD(N4+(-7/24),1)</f>
        <v>0.42894675926072523</v>
      </c>
      <c r="L4" s="39">
        <v>4.1100000000000003</v>
      </c>
      <c r="N4" s="186">
        <v>44817.720613425925</v>
      </c>
    </row>
    <row r="5" spans="1:14" x14ac:dyDescent="0.25">
      <c r="A5" s="39">
        <v>2</v>
      </c>
      <c r="B5" s="39">
        <v>1</v>
      </c>
      <c r="C5" s="183">
        <v>44817.703576388885</v>
      </c>
      <c r="D5" s="39" t="s">
        <v>365</v>
      </c>
      <c r="E5" s="39" t="s">
        <v>1068</v>
      </c>
      <c r="F5" s="39" t="s">
        <v>996</v>
      </c>
      <c r="G5" s="39" t="s">
        <v>1053</v>
      </c>
      <c r="H5" s="39" t="s">
        <v>861</v>
      </c>
      <c r="I5" s="184">
        <f t="shared" si="0"/>
        <v>0.41190972222102573</v>
      </c>
      <c r="J5" s="39">
        <v>1.71</v>
      </c>
      <c r="K5" s="184">
        <f t="shared" si="1"/>
        <v>0.61240740741050104</v>
      </c>
      <c r="L5" s="39">
        <v>1.42</v>
      </c>
      <c r="N5" s="186">
        <v>44817.904074074075</v>
      </c>
    </row>
    <row r="6" spans="1:14" x14ac:dyDescent="0.25">
      <c r="A6" s="39">
        <v>3</v>
      </c>
      <c r="B6" s="39">
        <v>1</v>
      </c>
      <c r="C6" s="183">
        <v>44818.696099537039</v>
      </c>
      <c r="D6" s="39" t="s">
        <v>360</v>
      </c>
      <c r="E6" s="39" t="s">
        <v>996</v>
      </c>
      <c r="F6" s="39" t="s">
        <v>857</v>
      </c>
      <c r="G6" s="39" t="s">
        <v>1053</v>
      </c>
      <c r="H6" s="39" t="s">
        <v>861</v>
      </c>
      <c r="I6" s="184">
        <f t="shared" si="0"/>
        <v>0.40443287037487607</v>
      </c>
      <c r="J6" s="39">
        <v>1.2</v>
      </c>
      <c r="K6" s="184">
        <f t="shared" si="1"/>
        <v>0.56875000000582077</v>
      </c>
      <c r="L6" s="39">
        <v>1.76</v>
      </c>
      <c r="M6" s="39" t="s">
        <v>1097</v>
      </c>
      <c r="N6" s="186">
        <v>44818.86041666667</v>
      </c>
    </row>
    <row r="7" spans="1:14" x14ac:dyDescent="0.25">
      <c r="A7" s="39">
        <v>4</v>
      </c>
      <c r="B7" s="39">
        <v>1</v>
      </c>
      <c r="C7" s="183">
        <v>44820.664212962962</v>
      </c>
      <c r="D7" s="39" t="s">
        <v>367</v>
      </c>
      <c r="E7" s="39" t="s">
        <v>857</v>
      </c>
      <c r="F7" s="39" t="s">
        <v>1055</v>
      </c>
      <c r="G7" s="39" t="s">
        <v>1054</v>
      </c>
      <c r="H7" s="39" t="s">
        <v>861</v>
      </c>
      <c r="I7" s="184">
        <f t="shared" si="0"/>
        <v>0.37254629629751435</v>
      </c>
      <c r="J7" s="39">
        <v>2.99</v>
      </c>
      <c r="K7" s="184">
        <f t="shared" si="1"/>
        <v>0.49281250000058208</v>
      </c>
      <c r="L7" s="39">
        <v>1.25</v>
      </c>
      <c r="N7" s="186">
        <v>44820.784479166665</v>
      </c>
    </row>
    <row r="8" spans="1:14" x14ac:dyDescent="0.25">
      <c r="A8" s="39">
        <v>5</v>
      </c>
      <c r="B8" s="39">
        <v>2</v>
      </c>
      <c r="C8" s="183">
        <v>44845.672094907408</v>
      </c>
      <c r="D8" s="39" t="s">
        <v>738</v>
      </c>
      <c r="E8" s="39" t="s">
        <v>996</v>
      </c>
      <c r="F8" s="39" t="s">
        <v>854</v>
      </c>
      <c r="G8" s="39" t="s">
        <v>1053</v>
      </c>
      <c r="H8" s="39" t="s">
        <v>861</v>
      </c>
      <c r="I8" s="184">
        <f t="shared" si="0"/>
        <v>0.38042824074364034</v>
      </c>
      <c r="K8" s="184">
        <f t="shared" si="1"/>
        <v>0.45120370370568708</v>
      </c>
      <c r="M8" s="39" t="s">
        <v>1098</v>
      </c>
      <c r="N8" s="186">
        <v>44845.74287037037</v>
      </c>
    </row>
    <row r="9" spans="1:14" x14ac:dyDescent="0.25">
      <c r="A9" s="39">
        <v>6</v>
      </c>
      <c r="B9" s="39">
        <v>2</v>
      </c>
      <c r="C9" s="183">
        <v>44845.68136574074</v>
      </c>
      <c r="D9" s="39" t="s">
        <v>367</v>
      </c>
      <c r="E9" s="39" t="s">
        <v>1099</v>
      </c>
      <c r="F9" s="39" t="s">
        <v>907</v>
      </c>
      <c r="G9" s="39" t="s">
        <v>1055</v>
      </c>
      <c r="H9" s="39" t="s">
        <v>861</v>
      </c>
      <c r="I9" s="184">
        <f t="shared" si="0"/>
        <v>0.38969907407590654</v>
      </c>
      <c r="K9" s="184">
        <f t="shared" si="1"/>
        <v>0.61241898148728069</v>
      </c>
      <c r="N9" s="186">
        <v>44845.904085648152</v>
      </c>
    </row>
    <row r="10" spans="1:14" x14ac:dyDescent="0.25">
      <c r="A10" s="39">
        <v>7</v>
      </c>
      <c r="B10" s="39">
        <v>2</v>
      </c>
      <c r="C10" s="183">
        <v>44846.662465277775</v>
      </c>
      <c r="D10" s="39" t="s">
        <v>365</v>
      </c>
      <c r="E10" s="39" t="s">
        <v>1054</v>
      </c>
      <c r="F10" s="39" t="s">
        <v>996</v>
      </c>
      <c r="G10" s="39" t="s">
        <v>1068</v>
      </c>
      <c r="H10" s="39" t="s">
        <v>861</v>
      </c>
      <c r="I10" s="184">
        <f t="shared" si="0"/>
        <v>0.37079861111124046</v>
      </c>
      <c r="J10" s="39">
        <v>1.4</v>
      </c>
      <c r="K10" s="184">
        <f t="shared" si="1"/>
        <v>0.61526620370568708</v>
      </c>
      <c r="L10" s="39">
        <v>1.52</v>
      </c>
      <c r="N10" s="186">
        <v>44846.90693287037</v>
      </c>
    </row>
    <row r="11" spans="1:14" x14ac:dyDescent="0.25">
      <c r="A11" s="39">
        <v>8</v>
      </c>
      <c r="B11" s="39">
        <v>2</v>
      </c>
      <c r="C11" s="183">
        <v>44847.644930555558</v>
      </c>
      <c r="D11" s="39" t="s">
        <v>360</v>
      </c>
      <c r="E11" s="39" t="s">
        <v>1055</v>
      </c>
      <c r="F11" s="39" t="s">
        <v>857</v>
      </c>
      <c r="G11" s="39" t="s">
        <v>1054</v>
      </c>
      <c r="H11" s="39" t="s">
        <v>861</v>
      </c>
      <c r="I11" s="184">
        <f t="shared" si="0"/>
        <v>0.35326388889370719</v>
      </c>
      <c r="J11" s="39">
        <v>1.74</v>
      </c>
      <c r="K11" s="184">
        <f t="shared" si="1"/>
        <v>0.55728009259473765</v>
      </c>
      <c r="L11" s="39">
        <v>1.53</v>
      </c>
      <c r="N11" s="186">
        <v>44847.848946759259</v>
      </c>
    </row>
    <row r="12" spans="1:14" x14ac:dyDescent="0.25">
      <c r="A12" s="39">
        <v>9</v>
      </c>
      <c r="B12" s="39">
        <v>2</v>
      </c>
      <c r="C12" s="183">
        <v>44847.724108796298</v>
      </c>
      <c r="D12" s="39" t="s">
        <v>361</v>
      </c>
      <c r="E12" s="39" t="s">
        <v>1100</v>
      </c>
      <c r="F12" s="39" t="s">
        <v>1099</v>
      </c>
      <c r="G12" s="39" t="s">
        <v>1053</v>
      </c>
      <c r="H12" s="39" t="s">
        <v>861</v>
      </c>
      <c r="I12" s="184">
        <f t="shared" si="0"/>
        <v>0.432442129633273</v>
      </c>
      <c r="J12" s="39">
        <v>8.2200000000000006</v>
      </c>
      <c r="K12" s="184">
        <f t="shared" si="1"/>
        <v>0.58583333333808696</v>
      </c>
      <c r="L12" s="39">
        <v>1.66</v>
      </c>
      <c r="N12" s="186">
        <v>44847.877500000002</v>
      </c>
    </row>
    <row r="13" spans="1:14" x14ac:dyDescent="0.25">
      <c r="A13" s="39">
        <v>10</v>
      </c>
      <c r="B13" s="39">
        <v>2</v>
      </c>
      <c r="C13" s="183">
        <v>44848.674386574072</v>
      </c>
      <c r="D13" s="39" t="s">
        <v>363</v>
      </c>
      <c r="E13" s="39" t="s">
        <v>1054</v>
      </c>
      <c r="F13" s="39" t="s">
        <v>1053</v>
      </c>
      <c r="G13" s="39" t="s">
        <v>996</v>
      </c>
      <c r="H13" s="39" t="s">
        <v>861</v>
      </c>
      <c r="I13" s="184">
        <f t="shared" si="0"/>
        <v>0.38271990740759065</v>
      </c>
      <c r="K13" s="184">
        <f t="shared" si="1"/>
        <v>0.51907407407998107</v>
      </c>
      <c r="L13" s="39">
        <v>3.9</v>
      </c>
      <c r="M13" s="39" t="s">
        <v>1101</v>
      </c>
      <c r="N13" s="186">
        <v>44848.810740740744</v>
      </c>
    </row>
    <row r="14" spans="1:14" x14ac:dyDescent="0.25">
      <c r="A14" s="39">
        <v>11</v>
      </c>
      <c r="B14" s="39">
        <v>3</v>
      </c>
      <c r="C14" s="183">
        <v>44865.683159722219</v>
      </c>
      <c r="D14" s="39" t="s">
        <v>366</v>
      </c>
      <c r="E14" s="39" t="s">
        <v>1055</v>
      </c>
      <c r="F14" s="39" t="s">
        <v>1053</v>
      </c>
      <c r="G14" s="39" t="s">
        <v>996</v>
      </c>
      <c r="H14" s="39" t="s">
        <v>731</v>
      </c>
      <c r="I14" s="184">
        <f t="shared" si="0"/>
        <v>0.39149305555474712</v>
      </c>
      <c r="K14" s="184">
        <f t="shared" si="1"/>
        <v>0.49126157407590654</v>
      </c>
      <c r="N14" s="186">
        <v>44865.78292824074</v>
      </c>
    </row>
    <row r="15" spans="1:14" x14ac:dyDescent="0.25">
      <c r="A15" s="39">
        <v>12</v>
      </c>
      <c r="B15" s="39">
        <v>3</v>
      </c>
      <c r="C15" s="183">
        <v>44866.669675925928</v>
      </c>
      <c r="D15" s="39" t="s">
        <v>367</v>
      </c>
      <c r="E15" s="39" t="s">
        <v>1055</v>
      </c>
      <c r="F15" s="39" t="s">
        <v>1099</v>
      </c>
      <c r="G15" s="39" t="s">
        <v>1054</v>
      </c>
      <c r="H15" s="39" t="s">
        <v>1072</v>
      </c>
      <c r="I15" s="184">
        <f t="shared" si="0"/>
        <v>0.37800925926421769</v>
      </c>
      <c r="J15" s="39">
        <v>2.64</v>
      </c>
      <c r="K15" s="184">
        <v>0.37800925926421769</v>
      </c>
      <c r="M15" s="39" t="s">
        <v>1102</v>
      </c>
      <c r="N15" s="51"/>
    </row>
    <row r="16" spans="1:14" x14ac:dyDescent="0.25">
      <c r="A16" s="39">
        <v>13</v>
      </c>
      <c r="B16" s="39">
        <v>3</v>
      </c>
      <c r="C16" s="183">
        <v>44868.690023148149</v>
      </c>
      <c r="D16" s="39" t="s">
        <v>367</v>
      </c>
      <c r="E16" s="39" t="s">
        <v>1054</v>
      </c>
      <c r="F16" s="39" t="s">
        <v>907</v>
      </c>
      <c r="G16" s="39" t="s">
        <v>1103</v>
      </c>
      <c r="H16" s="39" t="s">
        <v>861</v>
      </c>
      <c r="I16" s="184">
        <f t="shared" si="0"/>
        <v>0.39835648148437031</v>
      </c>
      <c r="J16" s="39">
        <v>4.91</v>
      </c>
      <c r="K16" s="184">
        <f>MOD(N16+(-7/24),1)</f>
        <v>0.59375</v>
      </c>
      <c r="L16" s="39">
        <v>3.92</v>
      </c>
      <c r="N16" s="186">
        <v>44868.885416666664</v>
      </c>
    </row>
    <row r="17" spans="1:14" x14ac:dyDescent="0.25">
      <c r="A17" s="39">
        <v>14</v>
      </c>
      <c r="B17" s="39">
        <v>3</v>
      </c>
      <c r="C17" s="183">
        <v>44868.706250000003</v>
      </c>
      <c r="D17" s="39" t="s">
        <v>365</v>
      </c>
      <c r="E17" s="39" t="s">
        <v>907</v>
      </c>
      <c r="F17" s="39" t="s">
        <v>1068</v>
      </c>
      <c r="G17" s="39" t="s">
        <v>996</v>
      </c>
      <c r="H17" s="39" t="s">
        <v>861</v>
      </c>
      <c r="I17" s="184">
        <f t="shared" si="0"/>
        <v>0.41458333333866904</v>
      </c>
      <c r="J17" s="39">
        <v>2.4900000000000002</v>
      </c>
      <c r="K17" s="184">
        <f>MOD(N17+(-7/24),1)</f>
        <v>0.49375000000145519</v>
      </c>
      <c r="L17" s="39">
        <v>1.94</v>
      </c>
      <c r="M17" s="39" t="s">
        <v>1104</v>
      </c>
      <c r="N17" s="186">
        <v>44868.785416666666</v>
      </c>
    </row>
    <row r="18" spans="1:14" x14ac:dyDescent="0.25">
      <c r="A18" s="39">
        <v>15</v>
      </c>
      <c r="B18" s="39">
        <v>3</v>
      </c>
      <c r="C18" s="183">
        <v>44869.702939814815</v>
      </c>
      <c r="D18" s="39" t="s">
        <v>360</v>
      </c>
      <c r="E18" s="39" t="s">
        <v>1054</v>
      </c>
      <c r="F18" s="39" t="s">
        <v>1100</v>
      </c>
      <c r="G18" s="39" t="s">
        <v>996</v>
      </c>
      <c r="H18" s="39" t="s">
        <v>722</v>
      </c>
      <c r="I18" s="184">
        <f t="shared" si="0"/>
        <v>0.41127314815093996</v>
      </c>
      <c r="J18" s="39">
        <v>3.43</v>
      </c>
      <c r="K18" s="184">
        <f>MOD(N18+(-7/24),1)</f>
        <v>0.64583333333575865</v>
      </c>
      <c r="L18" s="39">
        <v>2.0499999999999998</v>
      </c>
      <c r="N18" s="186">
        <v>44869.9375</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2A9A9-22B5-48FC-BA78-17669C14C7B9}">
  <dimension ref="A1:N26"/>
  <sheetViews>
    <sheetView workbookViewId="0">
      <selection activeCell="D19" sqref="D19"/>
    </sheetView>
  </sheetViews>
  <sheetFormatPr defaultRowHeight="15" x14ac:dyDescent="0.25"/>
  <cols>
    <col min="1" max="2" width="9.28515625" style="39" bestFit="1" customWidth="1"/>
    <col min="3" max="3" width="10.5703125" style="39" bestFit="1" customWidth="1"/>
    <col min="4" max="4" width="9.140625" style="39"/>
    <col min="5" max="5" width="12.28515625" style="39" customWidth="1"/>
    <col min="6" max="6" width="12" style="39" bestFit="1" customWidth="1"/>
    <col min="7" max="7" width="11.140625" style="39" bestFit="1" customWidth="1"/>
    <col min="8" max="8" width="9.140625" style="39"/>
    <col min="9" max="10" width="11.85546875" style="39" bestFit="1" customWidth="1"/>
    <col min="11" max="11" width="13.42578125" style="39" bestFit="1" customWidth="1"/>
    <col min="12" max="12" width="12.5703125" style="39" bestFit="1" customWidth="1"/>
    <col min="13" max="13" width="36.28515625" style="39" bestFit="1" customWidth="1"/>
    <col min="14" max="16384" width="9.140625" style="39"/>
  </cols>
  <sheetData>
    <row r="1" spans="1:14" ht="15.75" x14ac:dyDescent="0.25">
      <c r="A1" s="48" t="s">
        <v>1126</v>
      </c>
      <c r="B1" s="48"/>
      <c r="C1" s="44"/>
      <c r="D1" s="44"/>
      <c r="E1" s="44"/>
      <c r="F1" s="44"/>
      <c r="G1" s="44"/>
      <c r="H1" s="44"/>
    </row>
    <row r="2" spans="1:14" ht="15.75" x14ac:dyDescent="0.25">
      <c r="A2" s="49" t="s">
        <v>1</v>
      </c>
      <c r="B2" s="49"/>
      <c r="C2" s="44"/>
      <c r="D2" s="44"/>
      <c r="E2" s="44" t="s">
        <v>2</v>
      </c>
      <c r="F2" s="44"/>
      <c r="G2" s="44"/>
      <c r="H2" s="44" t="s">
        <v>3</v>
      </c>
    </row>
    <row r="3" spans="1:14" s="174" customFormat="1" x14ac:dyDescent="0.25">
      <c r="A3" s="174" t="s">
        <v>4</v>
      </c>
      <c r="B3" s="84" t="s">
        <v>601</v>
      </c>
      <c r="C3" s="187" t="s">
        <v>5</v>
      </c>
      <c r="D3" s="84" t="s">
        <v>7</v>
      </c>
      <c r="E3" s="84" t="s">
        <v>1062</v>
      </c>
      <c r="F3" s="84" t="s">
        <v>1105</v>
      </c>
      <c r="G3" s="84" t="s">
        <v>851</v>
      </c>
      <c r="H3" s="84" t="s">
        <v>1106</v>
      </c>
      <c r="I3" s="84" t="s">
        <v>602</v>
      </c>
      <c r="J3" s="84" t="s">
        <v>605</v>
      </c>
      <c r="K3" s="84" t="s">
        <v>1107</v>
      </c>
      <c r="L3" s="84" t="s">
        <v>1108</v>
      </c>
      <c r="M3" s="84" t="s">
        <v>331</v>
      </c>
      <c r="N3" s="84"/>
    </row>
    <row r="4" spans="1:14" x14ac:dyDescent="0.25">
      <c r="A4" s="39">
        <v>1</v>
      </c>
      <c r="B4" s="39">
        <v>1</v>
      </c>
      <c r="C4" s="183">
        <v>45180.913252314815</v>
      </c>
      <c r="D4" s="39" t="s">
        <v>367</v>
      </c>
      <c r="E4" s="39" t="s">
        <v>1116</v>
      </c>
      <c r="F4" s="39" t="s">
        <v>1100</v>
      </c>
      <c r="G4" s="39" t="s">
        <v>1109</v>
      </c>
      <c r="H4" s="39" t="s">
        <v>861</v>
      </c>
      <c r="I4" s="188">
        <v>0.38417546296296295</v>
      </c>
      <c r="J4" s="188">
        <v>0.51995370370370375</v>
      </c>
      <c r="K4" s="39">
        <v>1.27</v>
      </c>
      <c r="L4" s="39">
        <v>2.16</v>
      </c>
    </row>
    <row r="5" spans="1:14" x14ac:dyDescent="0.25">
      <c r="A5" s="39">
        <v>2</v>
      </c>
      <c r="B5" s="39">
        <v>1</v>
      </c>
      <c r="C5" s="183">
        <v>45180.695416666669</v>
      </c>
      <c r="D5" s="39" t="s">
        <v>366</v>
      </c>
      <c r="E5" s="39" t="s">
        <v>1110</v>
      </c>
      <c r="F5" s="39" t="s">
        <v>1112</v>
      </c>
      <c r="G5" s="39" t="s">
        <v>1054</v>
      </c>
      <c r="H5" s="39" t="s">
        <v>861</v>
      </c>
      <c r="I5" s="188">
        <v>0.40375</v>
      </c>
      <c r="J5" s="188">
        <v>0.45439814814814811</v>
      </c>
      <c r="K5" s="39">
        <v>5.17</v>
      </c>
      <c r="L5" s="39">
        <v>1.57</v>
      </c>
      <c r="M5" s="39" t="s">
        <v>738</v>
      </c>
      <c r="N5" s="39" t="s">
        <v>738</v>
      </c>
    </row>
    <row r="6" spans="1:14" x14ac:dyDescent="0.25">
      <c r="A6" s="39">
        <v>3</v>
      </c>
      <c r="B6" s="39">
        <v>1</v>
      </c>
      <c r="C6" s="183">
        <v>45181.708368055559</v>
      </c>
      <c r="D6" s="39" t="s">
        <v>360</v>
      </c>
      <c r="E6" s="39" t="s">
        <v>996</v>
      </c>
      <c r="F6" s="39" t="s">
        <v>907</v>
      </c>
      <c r="G6" s="39" t="s">
        <v>1110</v>
      </c>
      <c r="H6" s="39" t="s">
        <v>861</v>
      </c>
      <c r="I6" s="188">
        <v>0.41670138888888886</v>
      </c>
      <c r="J6" s="188">
        <v>0.53611111111111109</v>
      </c>
      <c r="K6" s="39">
        <v>1.34</v>
      </c>
      <c r="L6" s="39">
        <v>1</v>
      </c>
      <c r="M6" s="39" t="s">
        <v>1117</v>
      </c>
      <c r="N6" s="39" t="s">
        <v>1118</v>
      </c>
    </row>
    <row r="7" spans="1:14" x14ac:dyDescent="0.25">
      <c r="A7" s="39">
        <v>4</v>
      </c>
      <c r="B7" s="39">
        <v>1</v>
      </c>
      <c r="C7" s="183">
        <v>45181.705752314818</v>
      </c>
      <c r="D7" s="39" t="s">
        <v>365</v>
      </c>
      <c r="E7" s="39" t="s">
        <v>1053</v>
      </c>
      <c r="F7" s="39" t="s">
        <v>1115</v>
      </c>
      <c r="G7" s="39" t="s">
        <v>1111</v>
      </c>
      <c r="H7" s="39" t="s">
        <v>861</v>
      </c>
      <c r="I7" s="188">
        <v>0.41408564814814813</v>
      </c>
      <c r="J7" s="188">
        <v>0.60814814814814822</v>
      </c>
      <c r="K7" s="39">
        <v>2.83</v>
      </c>
      <c r="L7" s="39">
        <v>1.97</v>
      </c>
    </row>
    <row r="8" spans="1:14" x14ac:dyDescent="0.25">
      <c r="A8" s="39">
        <v>5</v>
      </c>
      <c r="B8" s="39">
        <v>1</v>
      </c>
      <c r="C8" s="183">
        <v>45182.663194444445</v>
      </c>
      <c r="D8" s="39" t="s">
        <v>361</v>
      </c>
      <c r="E8" s="39" t="s">
        <v>1112</v>
      </c>
      <c r="F8" s="39" t="s">
        <v>1054</v>
      </c>
      <c r="G8" s="39" t="s">
        <v>1116</v>
      </c>
      <c r="H8" s="39" t="s">
        <v>861</v>
      </c>
      <c r="I8" s="188">
        <v>0.37152777777777773</v>
      </c>
      <c r="J8" s="188">
        <v>0.46855324074074073</v>
      </c>
      <c r="K8" s="39">
        <v>3.18</v>
      </c>
      <c r="L8" s="39">
        <v>3.51</v>
      </c>
    </row>
    <row r="9" spans="1:14" x14ac:dyDescent="0.25">
      <c r="A9" s="39">
        <v>6</v>
      </c>
      <c r="B9" s="39">
        <v>1</v>
      </c>
      <c r="C9" s="183">
        <v>45182.661863425928</v>
      </c>
      <c r="D9" s="39" t="s">
        <v>363</v>
      </c>
      <c r="E9" s="39" t="s">
        <v>1053</v>
      </c>
      <c r="F9" s="39" t="s">
        <v>1114</v>
      </c>
      <c r="G9" s="39" t="s">
        <v>996</v>
      </c>
      <c r="H9" s="39" t="s">
        <v>861</v>
      </c>
      <c r="I9" s="188">
        <v>0.37019675925925927</v>
      </c>
      <c r="J9" s="188">
        <v>0.53652777777777783</v>
      </c>
      <c r="K9" s="39">
        <v>8.1300000000000008</v>
      </c>
      <c r="L9" s="39">
        <v>1.7</v>
      </c>
    </row>
    <row r="10" spans="1:14" x14ac:dyDescent="0.25">
      <c r="A10" s="39">
        <v>7</v>
      </c>
      <c r="B10" s="39">
        <v>2</v>
      </c>
      <c r="C10" s="183">
        <v>45194.291666666664</v>
      </c>
      <c r="D10" s="39" t="s">
        <v>366</v>
      </c>
      <c r="E10" s="39" t="s">
        <v>1115</v>
      </c>
      <c r="F10" s="39" t="s">
        <v>857</v>
      </c>
      <c r="G10" s="39" t="s">
        <v>1111</v>
      </c>
      <c r="H10" s="39" t="s">
        <v>731</v>
      </c>
      <c r="I10" s="188">
        <v>0.38417546296296295</v>
      </c>
      <c r="J10" s="189">
        <v>0.53047367969821657</v>
      </c>
      <c r="K10" s="39">
        <v>1.52</v>
      </c>
      <c r="L10" s="39">
        <v>1.74</v>
      </c>
    </row>
    <row r="11" spans="1:14" x14ac:dyDescent="0.25">
      <c r="A11" s="39">
        <v>8</v>
      </c>
      <c r="B11" s="39">
        <v>2</v>
      </c>
      <c r="C11" s="183">
        <v>45194.932881944442</v>
      </c>
      <c r="D11" s="39" t="s">
        <v>367</v>
      </c>
      <c r="E11" s="39" t="s">
        <v>1109</v>
      </c>
      <c r="F11" s="39" t="s">
        <v>1053</v>
      </c>
      <c r="G11" s="39" t="s">
        <v>1112</v>
      </c>
      <c r="H11" s="39" t="s">
        <v>861</v>
      </c>
      <c r="I11" s="188">
        <v>0.38417546296296295</v>
      </c>
      <c r="J11" s="188">
        <v>0.64194444444444443</v>
      </c>
      <c r="K11" s="39">
        <v>1.4</v>
      </c>
      <c r="L11" s="39">
        <v>1.25</v>
      </c>
    </row>
    <row r="12" spans="1:14" x14ac:dyDescent="0.25">
      <c r="A12" s="39">
        <v>9</v>
      </c>
      <c r="B12" s="39">
        <v>2</v>
      </c>
      <c r="C12" s="183">
        <v>45195.676446759258</v>
      </c>
      <c r="D12" s="39" t="s">
        <v>365</v>
      </c>
      <c r="E12" s="39" t="s">
        <v>1116</v>
      </c>
      <c r="F12" s="39" t="s">
        <v>1110</v>
      </c>
      <c r="G12" s="39" t="s">
        <v>1054</v>
      </c>
      <c r="H12" s="39" t="s">
        <v>861</v>
      </c>
      <c r="I12" s="188">
        <v>0.3847800925925926</v>
      </c>
      <c r="J12" s="188">
        <v>0.53628472222222223</v>
      </c>
      <c r="K12" s="39">
        <v>2.23</v>
      </c>
      <c r="L12" s="39">
        <v>1.89</v>
      </c>
    </row>
    <row r="13" spans="1:14" x14ac:dyDescent="0.25">
      <c r="A13" s="39">
        <v>10</v>
      </c>
      <c r="B13" s="39">
        <v>2</v>
      </c>
      <c r="C13" s="183">
        <v>45195.701423611114</v>
      </c>
      <c r="D13" s="39" t="s">
        <v>360</v>
      </c>
      <c r="E13" s="39" t="s">
        <v>1112</v>
      </c>
      <c r="F13" s="39" t="s">
        <v>907</v>
      </c>
      <c r="G13" s="39" t="s">
        <v>1114</v>
      </c>
      <c r="H13" s="39" t="s">
        <v>861</v>
      </c>
      <c r="I13" s="188">
        <v>0.40975694444444444</v>
      </c>
      <c r="J13" s="188">
        <v>0.56458333333333333</v>
      </c>
      <c r="K13" s="39">
        <v>2.2200000000000002</v>
      </c>
      <c r="L13" s="39">
        <v>1.98</v>
      </c>
    </row>
    <row r="14" spans="1:14" x14ac:dyDescent="0.25">
      <c r="A14" s="39">
        <v>11</v>
      </c>
      <c r="B14" s="39">
        <v>2</v>
      </c>
      <c r="C14" s="183">
        <v>45196.6875</v>
      </c>
      <c r="D14" s="39" t="s">
        <v>363</v>
      </c>
      <c r="E14" s="39" t="s">
        <v>1100</v>
      </c>
      <c r="F14" s="39" t="s">
        <v>1116</v>
      </c>
      <c r="G14" s="39" t="s">
        <v>1111</v>
      </c>
      <c r="H14" s="39" t="s">
        <v>731</v>
      </c>
      <c r="I14" s="188">
        <v>0.39583333333333331</v>
      </c>
      <c r="J14" s="188">
        <v>0.51715277777777779</v>
      </c>
      <c r="K14" s="39">
        <v>1.1399999999999999</v>
      </c>
      <c r="L14" s="39">
        <v>2.37</v>
      </c>
    </row>
    <row r="15" spans="1:14" x14ac:dyDescent="0.25">
      <c r="A15" s="39">
        <v>12</v>
      </c>
      <c r="B15" s="39">
        <v>2</v>
      </c>
      <c r="C15" s="183">
        <v>45196.679930555554</v>
      </c>
      <c r="D15" s="39" t="s">
        <v>361</v>
      </c>
      <c r="E15" s="39" t="s">
        <v>1053</v>
      </c>
      <c r="F15" s="39" t="s">
        <v>996</v>
      </c>
      <c r="G15" s="39" t="s">
        <v>1114</v>
      </c>
      <c r="H15" s="39" t="s">
        <v>861</v>
      </c>
      <c r="I15" s="188">
        <v>0.38826388888888891</v>
      </c>
      <c r="J15" s="188">
        <v>0.53891203703703705</v>
      </c>
      <c r="K15" s="39">
        <v>1.89</v>
      </c>
      <c r="L15" s="39">
        <v>1.67</v>
      </c>
    </row>
    <row r="16" spans="1:14" x14ac:dyDescent="0.25">
      <c r="A16" s="39">
        <v>13</v>
      </c>
      <c r="B16" s="39">
        <v>3</v>
      </c>
      <c r="C16" s="183">
        <v>45209.681250000001</v>
      </c>
      <c r="D16" s="39" t="s">
        <v>366</v>
      </c>
      <c r="E16" s="39" t="s">
        <v>1053</v>
      </c>
      <c r="F16" s="39" t="s">
        <v>1113</v>
      </c>
      <c r="G16" s="39" t="s">
        <v>996</v>
      </c>
      <c r="H16" s="39" t="s">
        <v>1072</v>
      </c>
      <c r="I16" s="188">
        <v>0.38958333333333334</v>
      </c>
      <c r="J16" s="188">
        <v>0.46412037037037041</v>
      </c>
      <c r="K16" s="39">
        <v>1.26</v>
      </c>
      <c r="L16" s="39">
        <v>1.65</v>
      </c>
    </row>
    <row r="17" spans="1:14" x14ac:dyDescent="0.25">
      <c r="A17" s="39">
        <v>14</v>
      </c>
      <c r="B17" s="39">
        <v>3</v>
      </c>
      <c r="C17" s="183">
        <v>45209.666747685187</v>
      </c>
      <c r="D17" s="39" t="s">
        <v>367</v>
      </c>
      <c r="E17" s="39" t="s">
        <v>1114</v>
      </c>
      <c r="F17" s="39" t="s">
        <v>857</v>
      </c>
      <c r="G17" s="39" t="s">
        <v>1116</v>
      </c>
      <c r="H17" s="39" t="s">
        <v>722</v>
      </c>
      <c r="I17" s="188">
        <v>0.37508101851851849</v>
      </c>
      <c r="J17" s="188">
        <v>0.5389004629629629</v>
      </c>
      <c r="K17" s="39">
        <v>2.12</v>
      </c>
      <c r="L17" s="39">
        <v>2.27</v>
      </c>
    </row>
    <row r="18" spans="1:14" x14ac:dyDescent="0.25">
      <c r="A18" s="39">
        <v>15</v>
      </c>
      <c r="B18" s="39">
        <v>3</v>
      </c>
      <c r="C18" s="183">
        <v>45210.690312500003</v>
      </c>
      <c r="D18" s="39" t="s">
        <v>365</v>
      </c>
      <c r="E18" s="39" t="s">
        <v>1100</v>
      </c>
      <c r="F18" s="39" t="s">
        <v>1113</v>
      </c>
      <c r="G18" s="39" t="s">
        <v>1053</v>
      </c>
      <c r="H18" s="39" t="s">
        <v>861</v>
      </c>
      <c r="I18" s="188">
        <v>0.39864583333333337</v>
      </c>
      <c r="J18" s="188">
        <v>0.52725694444444449</v>
      </c>
      <c r="K18" s="39">
        <v>2.5299999999999998</v>
      </c>
      <c r="L18" s="39">
        <v>2.2000000000000002</v>
      </c>
      <c r="N18" s="39" t="s">
        <v>1119</v>
      </c>
    </row>
    <row r="19" spans="1:14" x14ac:dyDescent="0.25">
      <c r="A19" s="39">
        <v>16</v>
      </c>
      <c r="B19" s="39">
        <v>3</v>
      </c>
      <c r="C19" s="183">
        <v>45211.655601851853</v>
      </c>
      <c r="D19" s="39" t="s">
        <v>361</v>
      </c>
      <c r="E19" s="39" t="s">
        <v>907</v>
      </c>
      <c r="F19" s="39" t="s">
        <v>1111</v>
      </c>
      <c r="G19" s="39" t="s">
        <v>857</v>
      </c>
      <c r="H19" s="39" t="s">
        <v>861</v>
      </c>
      <c r="I19" s="188">
        <v>0.36393518518518514</v>
      </c>
      <c r="J19" s="188">
        <v>0.49793981481481481</v>
      </c>
      <c r="K19" s="39">
        <v>1.74</v>
      </c>
      <c r="L19" s="39">
        <v>1.4</v>
      </c>
    </row>
    <row r="20" spans="1:14" x14ac:dyDescent="0.25">
      <c r="A20" s="39">
        <v>17</v>
      </c>
      <c r="B20" s="39">
        <v>3</v>
      </c>
      <c r="C20" s="183">
        <v>45211.661111111112</v>
      </c>
      <c r="D20" s="39" t="s">
        <v>360</v>
      </c>
      <c r="E20" s="39" t="s">
        <v>1109</v>
      </c>
      <c r="F20" s="39" t="s">
        <v>1112</v>
      </c>
      <c r="G20" s="39" t="s">
        <v>1114</v>
      </c>
      <c r="H20" s="39" t="s">
        <v>861</v>
      </c>
      <c r="I20" s="188">
        <v>0.36944444444444446</v>
      </c>
      <c r="J20" s="188">
        <v>0.53894675925925928</v>
      </c>
      <c r="K20" s="39">
        <v>8.6</v>
      </c>
      <c r="L20" s="39">
        <v>2.86</v>
      </c>
      <c r="N20" s="39" t="s">
        <v>738</v>
      </c>
    </row>
    <row r="21" spans="1:14" x14ac:dyDescent="0.25">
      <c r="A21" s="39">
        <v>18</v>
      </c>
      <c r="B21" s="39">
        <v>4</v>
      </c>
      <c r="C21" s="183">
        <v>45229.699305555558</v>
      </c>
      <c r="D21" s="39" t="s">
        <v>366</v>
      </c>
      <c r="E21" s="39" t="s">
        <v>1110</v>
      </c>
      <c r="F21" s="39" t="s">
        <v>1100</v>
      </c>
      <c r="G21" s="39" t="s">
        <v>1114</v>
      </c>
      <c r="H21" s="39" t="s">
        <v>861</v>
      </c>
      <c r="I21" s="188">
        <v>0.40763888888888888</v>
      </c>
      <c r="J21" s="188">
        <v>0.47222222222222227</v>
      </c>
      <c r="K21" s="39">
        <v>1.08</v>
      </c>
      <c r="L21" s="39">
        <v>2.1800000000000002</v>
      </c>
      <c r="M21" s="39" t="s">
        <v>738</v>
      </c>
      <c r="N21" s="39" t="s">
        <v>1120</v>
      </c>
    </row>
    <row r="22" spans="1:14" x14ac:dyDescent="0.25">
      <c r="A22" s="39">
        <v>19</v>
      </c>
      <c r="B22" s="39">
        <v>4</v>
      </c>
      <c r="C22" s="183">
        <v>45229.966909722221</v>
      </c>
      <c r="D22" s="39" t="s">
        <v>810</v>
      </c>
      <c r="E22" s="39" t="s">
        <v>1113</v>
      </c>
      <c r="F22" s="39" t="s">
        <v>996</v>
      </c>
      <c r="G22" s="39" t="s">
        <v>1109</v>
      </c>
      <c r="H22" s="39" t="s">
        <v>861</v>
      </c>
      <c r="I22" s="188">
        <v>0.38417546296296295</v>
      </c>
      <c r="J22" s="188">
        <v>0.5924652777777778</v>
      </c>
      <c r="K22" s="39">
        <v>0.85</v>
      </c>
      <c r="M22" s="39" t="s">
        <v>1121</v>
      </c>
    </row>
    <row r="23" spans="1:14" x14ac:dyDescent="0.25">
      <c r="A23" s="39">
        <v>20</v>
      </c>
      <c r="B23" s="39">
        <v>4</v>
      </c>
      <c r="C23" s="183">
        <v>45230.677083333336</v>
      </c>
      <c r="D23" s="39" t="s">
        <v>360</v>
      </c>
      <c r="E23" s="39" t="s">
        <v>1111</v>
      </c>
      <c r="F23" s="39" t="s">
        <v>857</v>
      </c>
      <c r="G23" s="39" t="s">
        <v>1112</v>
      </c>
      <c r="H23" s="39" t="s">
        <v>861</v>
      </c>
      <c r="I23" s="188">
        <v>0.38541666666666669</v>
      </c>
      <c r="J23" s="188">
        <v>0.53287037037037044</v>
      </c>
      <c r="K23" s="39">
        <v>2.91</v>
      </c>
      <c r="L23" s="39">
        <v>1.96</v>
      </c>
    </row>
    <row r="24" spans="1:14" x14ac:dyDescent="0.25">
      <c r="A24" s="39">
        <v>21</v>
      </c>
      <c r="B24" s="39">
        <v>4</v>
      </c>
      <c r="C24" s="183">
        <v>45230.69935185185</v>
      </c>
      <c r="D24" s="39" t="s">
        <v>365</v>
      </c>
      <c r="E24" s="39" t="s">
        <v>1114</v>
      </c>
      <c r="F24" s="39" t="s">
        <v>1054</v>
      </c>
      <c r="G24" s="39" t="s">
        <v>1110</v>
      </c>
      <c r="H24" s="39" t="s">
        <v>731</v>
      </c>
      <c r="I24" s="188">
        <v>0.40768518518518521</v>
      </c>
      <c r="J24" s="188">
        <v>0.5355671296296296</v>
      </c>
      <c r="L24" s="39">
        <v>1.86</v>
      </c>
      <c r="M24" s="39" t="s">
        <v>1122</v>
      </c>
      <c r="N24" s="39" t="s">
        <v>1123</v>
      </c>
    </row>
    <row r="25" spans="1:14" x14ac:dyDescent="0.25">
      <c r="A25" s="39">
        <v>22</v>
      </c>
      <c r="B25" s="39">
        <v>4</v>
      </c>
      <c r="C25" s="183">
        <v>45231.757743055554</v>
      </c>
      <c r="D25" s="39" t="s">
        <v>1123</v>
      </c>
      <c r="E25" s="39" t="s">
        <v>1113</v>
      </c>
      <c r="F25" s="39" t="s">
        <v>1111</v>
      </c>
      <c r="G25" s="39" t="s">
        <v>1054</v>
      </c>
      <c r="H25" s="39" t="s">
        <v>722</v>
      </c>
      <c r="I25" s="188">
        <v>0.46607638888888886</v>
      </c>
      <c r="J25" s="188">
        <v>0.5131944444444444</v>
      </c>
      <c r="K25" s="39">
        <v>1.43</v>
      </c>
      <c r="L25" s="39">
        <v>1.75</v>
      </c>
      <c r="M25" s="39" t="s">
        <v>1124</v>
      </c>
    </row>
    <row r="26" spans="1:14" x14ac:dyDescent="0.25">
      <c r="A26" s="39">
        <v>23</v>
      </c>
      <c r="B26" s="39">
        <v>4</v>
      </c>
      <c r="C26" s="183">
        <v>45231.740277777775</v>
      </c>
      <c r="D26" s="39" t="s">
        <v>361</v>
      </c>
      <c r="E26" s="39" t="s">
        <v>1109</v>
      </c>
      <c r="F26" s="39" t="s">
        <v>1116</v>
      </c>
      <c r="G26" s="39" t="s">
        <v>1115</v>
      </c>
      <c r="H26" s="39" t="s">
        <v>722</v>
      </c>
      <c r="I26" s="188">
        <v>0.44861111111111113</v>
      </c>
      <c r="J26" s="188">
        <v>0.5</v>
      </c>
      <c r="K26" s="39">
        <v>1.56</v>
      </c>
      <c r="L26" s="39">
        <v>1.26</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267CF-E01D-4BB1-A19D-43992F8739D1}">
  <dimension ref="A1:M26"/>
  <sheetViews>
    <sheetView workbookViewId="0">
      <selection activeCell="D17" sqref="D17"/>
    </sheetView>
  </sheetViews>
  <sheetFormatPr defaultRowHeight="15" x14ac:dyDescent="0.25"/>
  <cols>
    <col min="3" max="4" width="15.5703125" bestFit="1" customWidth="1"/>
    <col min="9" max="11" width="11.28515625" bestFit="1" customWidth="1"/>
    <col min="12" max="12" width="12.42578125" bestFit="1" customWidth="1"/>
    <col min="13" max="13" width="18.140625" bestFit="1" customWidth="1"/>
  </cols>
  <sheetData>
    <row r="1" spans="1:13" ht="15.75" x14ac:dyDescent="0.25">
      <c r="A1" s="48" t="s">
        <v>1127</v>
      </c>
      <c r="B1" s="48"/>
      <c r="C1" s="44"/>
      <c r="D1" s="44"/>
      <c r="E1" s="44"/>
      <c r="F1" s="44"/>
      <c r="G1" s="44"/>
      <c r="H1" s="44"/>
    </row>
    <row r="2" spans="1:13" ht="15.75" x14ac:dyDescent="0.25">
      <c r="A2" s="49" t="s">
        <v>1</v>
      </c>
      <c r="B2" s="49"/>
      <c r="C2" s="44"/>
      <c r="D2" s="44"/>
      <c r="E2" s="44" t="s">
        <v>2</v>
      </c>
      <c r="F2" s="44"/>
      <c r="G2" s="44"/>
      <c r="H2" s="44" t="s">
        <v>3</v>
      </c>
    </row>
    <row r="3" spans="1:13" x14ac:dyDescent="0.25">
      <c r="A3" s="166" t="s">
        <v>4</v>
      </c>
      <c r="B3" s="166" t="s">
        <v>1128</v>
      </c>
      <c r="C3" s="166" t="s">
        <v>5</v>
      </c>
      <c r="D3" s="166" t="s">
        <v>7</v>
      </c>
      <c r="E3" s="166" t="s">
        <v>1062</v>
      </c>
      <c r="F3" s="166" t="s">
        <v>1105</v>
      </c>
      <c r="G3" s="166" t="s">
        <v>851</v>
      </c>
      <c r="H3" s="166" t="s">
        <v>1106</v>
      </c>
      <c r="I3" s="166" t="s">
        <v>768</v>
      </c>
      <c r="J3" s="166" t="s">
        <v>1107</v>
      </c>
      <c r="K3" s="166" t="s">
        <v>605</v>
      </c>
      <c r="L3" s="166" t="s">
        <v>1108</v>
      </c>
      <c r="M3" s="166" t="s">
        <v>331</v>
      </c>
    </row>
    <row r="4" spans="1:13" x14ac:dyDescent="0.25">
      <c r="A4">
        <v>1</v>
      </c>
      <c r="B4">
        <v>1</v>
      </c>
      <c r="C4" s="35">
        <v>45551.668356481481</v>
      </c>
      <c r="D4" t="s">
        <v>366</v>
      </c>
      <c r="E4" t="s">
        <v>1110</v>
      </c>
      <c r="F4" t="s">
        <v>854</v>
      </c>
      <c r="G4" t="s">
        <v>1115</v>
      </c>
      <c r="H4" t="s">
        <v>731</v>
      </c>
      <c r="I4" s="20">
        <f t="shared" ref="I4:I26" si="0">MOD(C4+(-7/24),1)</f>
        <v>0.37668981481692754</v>
      </c>
      <c r="J4">
        <v>2.02</v>
      </c>
      <c r="K4" s="20">
        <v>0.42539351851883112</v>
      </c>
      <c r="L4">
        <v>2</v>
      </c>
    </row>
    <row r="5" spans="1:13" x14ac:dyDescent="0.25">
      <c r="A5">
        <v>2</v>
      </c>
      <c r="B5">
        <v>1</v>
      </c>
      <c r="C5" s="35">
        <v>45551.678460648145</v>
      </c>
      <c r="D5" t="s">
        <v>367</v>
      </c>
      <c r="E5" t="s">
        <v>1054</v>
      </c>
      <c r="F5" t="s">
        <v>1113</v>
      </c>
      <c r="G5" t="s">
        <v>1129</v>
      </c>
      <c r="H5" t="s">
        <v>722</v>
      </c>
      <c r="I5" s="20">
        <f t="shared" si="0"/>
        <v>0.38679398148087785</v>
      </c>
      <c r="J5">
        <v>1.94</v>
      </c>
      <c r="K5" s="20">
        <v>0.52667824074160308</v>
      </c>
      <c r="L5">
        <v>3.31</v>
      </c>
    </row>
    <row r="6" spans="1:13" x14ac:dyDescent="0.25">
      <c r="A6">
        <v>3</v>
      </c>
      <c r="B6">
        <v>1</v>
      </c>
      <c r="C6" s="35">
        <v>45552.684502314813</v>
      </c>
      <c r="D6" t="s">
        <v>365</v>
      </c>
      <c r="E6" t="s">
        <v>996</v>
      </c>
      <c r="F6" t="s">
        <v>1130</v>
      </c>
      <c r="G6" t="s">
        <v>1131</v>
      </c>
      <c r="H6" t="s">
        <v>722</v>
      </c>
      <c r="I6" s="20">
        <f t="shared" si="0"/>
        <v>0.39283564814832062</v>
      </c>
      <c r="J6">
        <v>8.43</v>
      </c>
      <c r="K6" s="20">
        <v>0.54395833333546761</v>
      </c>
      <c r="L6">
        <v>3.6</v>
      </c>
    </row>
    <row r="7" spans="1:13" x14ac:dyDescent="0.25">
      <c r="A7">
        <v>4</v>
      </c>
      <c r="B7">
        <v>1</v>
      </c>
      <c r="C7" s="35">
        <v>45552.711539351854</v>
      </c>
      <c r="D7" t="s">
        <v>360</v>
      </c>
      <c r="E7" t="s">
        <v>1116</v>
      </c>
      <c r="F7" t="s">
        <v>1054</v>
      </c>
      <c r="G7" t="s">
        <v>1132</v>
      </c>
      <c r="H7" t="s">
        <v>722</v>
      </c>
      <c r="I7" s="20">
        <f t="shared" si="0"/>
        <v>0.41987268519005738</v>
      </c>
      <c r="J7">
        <v>1.72</v>
      </c>
      <c r="K7" s="20">
        <v>0.62972222222742857</v>
      </c>
      <c r="M7" t="s">
        <v>1133</v>
      </c>
    </row>
    <row r="8" spans="1:13" x14ac:dyDescent="0.25">
      <c r="A8">
        <v>5</v>
      </c>
      <c r="B8">
        <v>1</v>
      </c>
      <c r="C8" s="35">
        <v>45553.674525462964</v>
      </c>
      <c r="D8" t="s">
        <v>363</v>
      </c>
      <c r="E8" t="s">
        <v>1132</v>
      </c>
      <c r="F8" t="s">
        <v>1115</v>
      </c>
      <c r="G8" t="s">
        <v>1116</v>
      </c>
      <c r="H8" t="s">
        <v>731</v>
      </c>
      <c r="I8" s="20">
        <f t="shared" si="0"/>
        <v>0.38285879629984265</v>
      </c>
      <c r="J8">
        <v>1.85</v>
      </c>
      <c r="K8" s="20">
        <v>0.50722222222248092</v>
      </c>
      <c r="L8">
        <v>1.74</v>
      </c>
      <c r="M8" t="s">
        <v>1133</v>
      </c>
    </row>
    <row r="9" spans="1:13" x14ac:dyDescent="0.25">
      <c r="A9">
        <v>6</v>
      </c>
      <c r="B9">
        <v>1</v>
      </c>
      <c r="C9" s="35">
        <v>45553.678888888891</v>
      </c>
      <c r="D9" t="s">
        <v>361</v>
      </c>
      <c r="E9" t="s">
        <v>1113</v>
      </c>
      <c r="F9" t="s">
        <v>1111</v>
      </c>
      <c r="G9" t="s">
        <v>996</v>
      </c>
      <c r="H9" t="s">
        <v>731</v>
      </c>
      <c r="I9" s="20">
        <f t="shared" si="0"/>
        <v>0.38722222222713754</v>
      </c>
      <c r="J9">
        <v>1.1100000000000001</v>
      </c>
      <c r="K9" s="20">
        <v>0.51451388889108784</v>
      </c>
      <c r="L9">
        <v>1.24</v>
      </c>
      <c r="M9" t="s">
        <v>1134</v>
      </c>
    </row>
    <row r="10" spans="1:13" x14ac:dyDescent="0.25">
      <c r="A10">
        <v>7</v>
      </c>
      <c r="B10">
        <v>2</v>
      </c>
      <c r="C10" s="35">
        <v>45565.665532407409</v>
      </c>
      <c r="D10" t="s">
        <v>366</v>
      </c>
      <c r="E10" t="s">
        <v>1054</v>
      </c>
      <c r="F10" t="s">
        <v>1110</v>
      </c>
      <c r="G10" t="s">
        <v>1113</v>
      </c>
      <c r="H10" t="s">
        <v>861</v>
      </c>
      <c r="I10" s="20">
        <f t="shared" si="0"/>
        <v>0.3738657407448045</v>
      </c>
      <c r="J10">
        <v>1.52</v>
      </c>
      <c r="K10" s="20">
        <v>0.47137731481780065</v>
      </c>
      <c r="L10">
        <v>1.89</v>
      </c>
    </row>
    <row r="11" spans="1:13" x14ac:dyDescent="0.25">
      <c r="A11">
        <v>8</v>
      </c>
      <c r="B11">
        <v>2</v>
      </c>
      <c r="C11" s="35">
        <v>45565.679490740738</v>
      </c>
      <c r="D11" t="s">
        <v>367</v>
      </c>
      <c r="E11" t="s">
        <v>1109</v>
      </c>
      <c r="F11" t="s">
        <v>1111</v>
      </c>
      <c r="G11" t="s">
        <v>1103</v>
      </c>
      <c r="H11" t="s">
        <v>861</v>
      </c>
      <c r="I11" s="20">
        <f t="shared" si="0"/>
        <v>0.38782407407416031</v>
      </c>
      <c r="J11">
        <v>8.68</v>
      </c>
      <c r="K11" s="20">
        <v>0.59002314815006685</v>
      </c>
      <c r="M11" t="s">
        <v>1135</v>
      </c>
    </row>
    <row r="12" spans="1:13" x14ac:dyDescent="0.25">
      <c r="A12">
        <v>9</v>
      </c>
      <c r="B12">
        <v>2</v>
      </c>
      <c r="C12" s="35">
        <v>45566.691770833335</v>
      </c>
      <c r="D12" t="s">
        <v>360</v>
      </c>
      <c r="E12" t="s">
        <v>1111</v>
      </c>
      <c r="F12" t="s">
        <v>1113</v>
      </c>
      <c r="G12" t="s">
        <v>1110</v>
      </c>
      <c r="H12" t="s">
        <v>861</v>
      </c>
      <c r="I12" s="20">
        <f t="shared" si="0"/>
        <v>0.40010416667064419</v>
      </c>
      <c r="J12">
        <v>2.12</v>
      </c>
      <c r="K12" s="20">
        <v>0.54880787037109258</v>
      </c>
      <c r="L12">
        <v>2.75</v>
      </c>
    </row>
    <row r="13" spans="1:13" x14ac:dyDescent="0.25">
      <c r="A13">
        <v>10</v>
      </c>
      <c r="B13">
        <v>2</v>
      </c>
      <c r="C13" s="35">
        <v>45566.675694444442</v>
      </c>
      <c r="D13" t="s">
        <v>365</v>
      </c>
      <c r="E13" t="s">
        <v>996</v>
      </c>
      <c r="F13" t="s">
        <v>1115</v>
      </c>
      <c r="G13" t="s">
        <v>1129</v>
      </c>
      <c r="H13" t="s">
        <v>861</v>
      </c>
      <c r="I13" s="20">
        <f t="shared" si="0"/>
        <v>0.38402777777810115</v>
      </c>
      <c r="J13">
        <v>1.62</v>
      </c>
      <c r="K13" s="20">
        <v>0.64722222222189885</v>
      </c>
    </row>
    <row r="14" spans="1:13" x14ac:dyDescent="0.25">
      <c r="A14">
        <v>11</v>
      </c>
      <c r="B14">
        <v>2</v>
      </c>
      <c r="C14" s="35">
        <v>45567.675081018519</v>
      </c>
      <c r="D14" t="s">
        <v>363</v>
      </c>
      <c r="E14" t="s">
        <v>1116</v>
      </c>
      <c r="F14" t="s">
        <v>1131</v>
      </c>
      <c r="G14" t="s">
        <v>1130</v>
      </c>
      <c r="H14" t="s">
        <v>861</v>
      </c>
      <c r="I14" s="20">
        <f t="shared" si="0"/>
        <v>0.38341435185429873</v>
      </c>
      <c r="J14">
        <v>1.63</v>
      </c>
      <c r="K14" s="20">
        <v>0.55519675926188938</v>
      </c>
      <c r="L14">
        <v>1.28</v>
      </c>
    </row>
    <row r="15" spans="1:13" x14ac:dyDescent="0.25">
      <c r="A15">
        <v>12</v>
      </c>
      <c r="B15">
        <v>2</v>
      </c>
      <c r="C15" s="35">
        <v>45567.686296296299</v>
      </c>
      <c r="D15" t="s">
        <v>361</v>
      </c>
      <c r="E15" t="s">
        <v>1115</v>
      </c>
      <c r="F15" t="s">
        <v>996</v>
      </c>
      <c r="G15" t="s">
        <v>1129</v>
      </c>
      <c r="H15" t="s">
        <v>861</v>
      </c>
      <c r="I15" s="20">
        <f t="shared" si="0"/>
        <v>0.39462962963443715</v>
      </c>
      <c r="J15">
        <v>1.26</v>
      </c>
      <c r="K15" s="20">
        <v>0.55707175926363561</v>
      </c>
      <c r="L15">
        <v>0.98</v>
      </c>
    </row>
    <row r="16" spans="1:13" x14ac:dyDescent="0.25">
      <c r="A16">
        <v>13</v>
      </c>
      <c r="B16">
        <v>3</v>
      </c>
      <c r="C16" s="35">
        <v>45581.669282407405</v>
      </c>
      <c r="D16" t="s">
        <v>367</v>
      </c>
      <c r="E16" t="s">
        <v>1132</v>
      </c>
      <c r="F16" t="s">
        <v>1054</v>
      </c>
      <c r="G16" t="s">
        <v>1116</v>
      </c>
      <c r="H16" t="s">
        <v>1072</v>
      </c>
      <c r="I16" s="20">
        <f t="shared" si="0"/>
        <v>0.377615740741021</v>
      </c>
      <c r="J16">
        <v>1.32</v>
      </c>
      <c r="K16" s="20">
        <v>0.53031249999912689</v>
      </c>
      <c r="L16">
        <v>1.36</v>
      </c>
      <c r="M16" t="s">
        <v>1133</v>
      </c>
    </row>
    <row r="17" spans="1:13" x14ac:dyDescent="0.25">
      <c r="A17">
        <v>14</v>
      </c>
      <c r="B17">
        <v>3</v>
      </c>
      <c r="C17" s="35">
        <v>45580.678564814814</v>
      </c>
      <c r="D17" t="s">
        <v>366</v>
      </c>
      <c r="E17" t="s">
        <v>1111</v>
      </c>
      <c r="F17" t="s">
        <v>854</v>
      </c>
      <c r="G17" t="s">
        <v>996</v>
      </c>
      <c r="H17" t="s">
        <v>861</v>
      </c>
      <c r="I17" s="20">
        <f t="shared" si="0"/>
        <v>0.38689814815006685</v>
      </c>
      <c r="J17">
        <v>1.98</v>
      </c>
      <c r="K17" s="20">
        <v>0.43943287037109258</v>
      </c>
      <c r="L17">
        <v>1.94</v>
      </c>
    </row>
    <row r="18" spans="1:13" x14ac:dyDescent="0.25">
      <c r="A18">
        <v>15</v>
      </c>
      <c r="B18">
        <v>3</v>
      </c>
      <c r="C18" s="35">
        <v>45581.678182870368</v>
      </c>
      <c r="D18" t="s">
        <v>365</v>
      </c>
      <c r="E18" t="s">
        <v>1131</v>
      </c>
      <c r="F18" t="s">
        <v>1131</v>
      </c>
      <c r="G18" t="s">
        <v>1130</v>
      </c>
      <c r="H18" t="s">
        <v>1072</v>
      </c>
      <c r="I18" s="20">
        <f t="shared" si="0"/>
        <v>0.38651620370364981</v>
      </c>
      <c r="J18">
        <v>1.72</v>
      </c>
      <c r="K18" s="20">
        <v>0.54634259259182727</v>
      </c>
      <c r="L18">
        <v>1.86</v>
      </c>
    </row>
    <row r="19" spans="1:13" x14ac:dyDescent="0.25">
      <c r="A19">
        <v>16</v>
      </c>
      <c r="B19">
        <v>3</v>
      </c>
      <c r="C19" s="35">
        <v>45582.673703703702</v>
      </c>
      <c r="D19" t="s">
        <v>360</v>
      </c>
      <c r="E19" t="s">
        <v>1054</v>
      </c>
      <c r="F19" t="s">
        <v>996</v>
      </c>
      <c r="G19" t="s">
        <v>1110</v>
      </c>
      <c r="H19" t="s">
        <v>861</v>
      </c>
      <c r="I19" s="20">
        <f t="shared" si="0"/>
        <v>0.38203703703766223</v>
      </c>
      <c r="J19">
        <v>1.91</v>
      </c>
      <c r="K19" s="20">
        <v>0.53879629629955161</v>
      </c>
      <c r="L19">
        <v>1.5</v>
      </c>
    </row>
    <row r="20" spans="1:13" x14ac:dyDescent="0.25">
      <c r="A20">
        <v>17</v>
      </c>
      <c r="B20">
        <v>3</v>
      </c>
      <c r="C20" s="35">
        <v>45582.695104166669</v>
      </c>
      <c r="D20" t="s">
        <v>361</v>
      </c>
      <c r="E20" t="s">
        <v>1116</v>
      </c>
      <c r="F20" t="s">
        <v>1131</v>
      </c>
      <c r="G20" t="s">
        <v>1115</v>
      </c>
      <c r="H20" t="s">
        <v>861</v>
      </c>
      <c r="I20" s="20">
        <f t="shared" si="0"/>
        <v>0.40343750000465661</v>
      </c>
      <c r="J20">
        <v>2.58</v>
      </c>
      <c r="K20" s="20">
        <v>0.53570601851970423</v>
      </c>
      <c r="L20">
        <v>1.47</v>
      </c>
    </row>
    <row r="21" spans="1:13" x14ac:dyDescent="0.25">
      <c r="A21">
        <v>18</v>
      </c>
      <c r="B21">
        <v>3</v>
      </c>
      <c r="C21" s="35">
        <v>45583.66443287037</v>
      </c>
      <c r="D21" t="s">
        <v>363</v>
      </c>
      <c r="E21" t="s">
        <v>1132</v>
      </c>
      <c r="F21" t="s">
        <v>1103</v>
      </c>
      <c r="G21" t="s">
        <v>1053</v>
      </c>
      <c r="H21" t="s">
        <v>861</v>
      </c>
      <c r="I21" s="20">
        <f t="shared" si="0"/>
        <v>0.37276620370539604</v>
      </c>
      <c r="J21">
        <v>1.27</v>
      </c>
      <c r="K21" s="20">
        <v>0.49733796296641231</v>
      </c>
      <c r="L21">
        <v>1.28</v>
      </c>
      <c r="M21" t="s">
        <v>1136</v>
      </c>
    </row>
    <row r="22" spans="1:13" x14ac:dyDescent="0.25">
      <c r="A22">
        <v>19</v>
      </c>
      <c r="B22">
        <v>4</v>
      </c>
      <c r="C22" s="35">
        <v>45593.705925925926</v>
      </c>
      <c r="D22" t="s">
        <v>366</v>
      </c>
      <c r="E22" t="s">
        <v>1109</v>
      </c>
      <c r="F22" t="s">
        <v>1131</v>
      </c>
      <c r="G22" t="s">
        <v>1103</v>
      </c>
      <c r="H22" t="s">
        <v>722</v>
      </c>
      <c r="I22" s="20">
        <f t="shared" si="0"/>
        <v>0.41425925926159834</v>
      </c>
      <c r="J22">
        <v>3.69</v>
      </c>
      <c r="K22" s="20">
        <v>0.47298611111182254</v>
      </c>
      <c r="L22">
        <v>2.72</v>
      </c>
      <c r="M22" t="s">
        <v>1137</v>
      </c>
    </row>
    <row r="23" spans="1:13" x14ac:dyDescent="0.25">
      <c r="A23">
        <v>20</v>
      </c>
      <c r="B23">
        <v>4</v>
      </c>
      <c r="C23" s="35">
        <v>45594.696747685186</v>
      </c>
      <c r="D23" t="s">
        <v>365</v>
      </c>
      <c r="E23" t="s">
        <v>1131</v>
      </c>
      <c r="F23" t="s">
        <v>1111</v>
      </c>
      <c r="G23" t="s">
        <v>1132</v>
      </c>
      <c r="H23" t="s">
        <v>861</v>
      </c>
      <c r="I23" s="20">
        <f t="shared" si="0"/>
        <v>0.4050810185217415</v>
      </c>
      <c r="J23">
        <v>1.89</v>
      </c>
      <c r="K23" s="20">
        <v>0.528773148151231</v>
      </c>
      <c r="L23">
        <v>1.91</v>
      </c>
      <c r="M23" t="s">
        <v>1133</v>
      </c>
    </row>
    <row r="24" spans="1:13" x14ac:dyDescent="0.25">
      <c r="A24">
        <v>21</v>
      </c>
      <c r="B24">
        <v>4</v>
      </c>
      <c r="C24" s="35">
        <v>45593.707384259258</v>
      </c>
      <c r="D24" t="s">
        <v>367</v>
      </c>
      <c r="E24" t="s">
        <v>1054</v>
      </c>
      <c r="F24" t="s">
        <v>1111</v>
      </c>
      <c r="G24" t="s">
        <v>1116</v>
      </c>
      <c r="H24" t="s">
        <v>731</v>
      </c>
      <c r="I24" s="20">
        <f t="shared" si="0"/>
        <v>0.41571759259386454</v>
      </c>
      <c r="J24">
        <v>1.44</v>
      </c>
      <c r="K24" s="20">
        <v>0.53627314815093996</v>
      </c>
      <c r="L24">
        <v>1.17</v>
      </c>
    </row>
    <row r="25" spans="1:13" x14ac:dyDescent="0.25">
      <c r="A25">
        <v>22</v>
      </c>
      <c r="B25">
        <v>4</v>
      </c>
      <c r="C25" s="35">
        <v>45594.691192129627</v>
      </c>
      <c r="D25" t="s">
        <v>360</v>
      </c>
      <c r="E25" t="s">
        <v>1115</v>
      </c>
      <c r="F25" t="s">
        <v>1110</v>
      </c>
      <c r="G25" t="s">
        <v>1103</v>
      </c>
      <c r="H25" t="s">
        <v>861</v>
      </c>
      <c r="I25" s="20">
        <f t="shared" si="0"/>
        <v>0.39952546296262881</v>
      </c>
      <c r="J25">
        <v>1.84</v>
      </c>
      <c r="K25" s="20">
        <v>0.56016203703620704</v>
      </c>
      <c r="L25">
        <v>1.74</v>
      </c>
      <c r="M25" t="s">
        <v>1138</v>
      </c>
    </row>
    <row r="26" spans="1:13" x14ac:dyDescent="0.25">
      <c r="A26">
        <v>23</v>
      </c>
      <c r="B26">
        <v>4</v>
      </c>
      <c r="C26" s="35">
        <v>45595.665949074071</v>
      </c>
      <c r="D26" t="s">
        <v>363</v>
      </c>
      <c r="E26" t="s">
        <v>1103</v>
      </c>
      <c r="F26" t="s">
        <v>1110</v>
      </c>
      <c r="G26" t="s">
        <v>1132</v>
      </c>
      <c r="H26" t="s">
        <v>722</v>
      </c>
      <c r="I26" s="20">
        <f t="shared" si="0"/>
        <v>0.37428240740700858</v>
      </c>
      <c r="J26">
        <v>1.5</v>
      </c>
      <c r="K26" s="20">
        <v>0.47819444444758119</v>
      </c>
      <c r="L26">
        <v>1.1599999999999999</v>
      </c>
      <c r="M26" t="s">
        <v>1133</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521FB-F013-489C-B7BC-1EF795F2A5F3}">
  <dimension ref="A1:C17"/>
  <sheetViews>
    <sheetView tabSelected="1" workbookViewId="0">
      <selection activeCell="A17" sqref="A17"/>
    </sheetView>
  </sheetViews>
  <sheetFormatPr defaultRowHeight="15" x14ac:dyDescent="0.25"/>
  <cols>
    <col min="1" max="1" width="19.140625" bestFit="1" customWidth="1"/>
    <col min="2" max="2" width="110.42578125" bestFit="1" customWidth="1"/>
  </cols>
  <sheetData>
    <row r="1" spans="1:3" s="72" customFormat="1" x14ac:dyDescent="0.25">
      <c r="A1" t="s">
        <v>1142</v>
      </c>
      <c r="B1" t="s">
        <v>1143</v>
      </c>
    </row>
    <row r="2" spans="1:3" x14ac:dyDescent="0.25">
      <c r="A2" s="175" t="s">
        <v>4</v>
      </c>
      <c r="B2" s="72" t="s">
        <v>1144</v>
      </c>
    </row>
    <row r="3" spans="1:3" x14ac:dyDescent="0.25">
      <c r="A3" s="175" t="s">
        <v>601</v>
      </c>
      <c r="B3" t="s">
        <v>1146</v>
      </c>
    </row>
    <row r="4" spans="1:3" x14ac:dyDescent="0.25">
      <c r="A4" s="175" t="s">
        <v>5</v>
      </c>
      <c r="B4" t="s">
        <v>1147</v>
      </c>
    </row>
    <row r="5" spans="1:3" x14ac:dyDescent="0.25">
      <c r="A5" s="175" t="s">
        <v>7</v>
      </c>
      <c r="B5" t="s">
        <v>1159</v>
      </c>
    </row>
    <row r="6" spans="1:3" x14ac:dyDescent="0.25">
      <c r="A6" s="175" t="s">
        <v>6</v>
      </c>
      <c r="B6" t="s">
        <v>1145</v>
      </c>
    </row>
    <row r="7" spans="1:3" x14ac:dyDescent="0.25">
      <c r="A7" s="176" t="s">
        <v>1062</v>
      </c>
      <c r="B7" t="s">
        <v>1148</v>
      </c>
      <c r="C7" s="166"/>
    </row>
    <row r="8" spans="1:3" x14ac:dyDescent="0.25">
      <c r="A8" s="176" t="s">
        <v>1105</v>
      </c>
      <c r="B8" t="s">
        <v>1149</v>
      </c>
    </row>
    <row r="9" spans="1:3" x14ac:dyDescent="0.25">
      <c r="A9" s="176" t="s">
        <v>851</v>
      </c>
      <c r="B9" t="s">
        <v>1150</v>
      </c>
    </row>
    <row r="10" spans="1:3" x14ac:dyDescent="0.25">
      <c r="A10" s="176" t="s">
        <v>1106</v>
      </c>
      <c r="B10" t="s">
        <v>1151</v>
      </c>
    </row>
    <row r="11" spans="1:3" x14ac:dyDescent="0.25">
      <c r="A11" s="175" t="s">
        <v>8</v>
      </c>
      <c r="B11" t="s">
        <v>1155</v>
      </c>
    </row>
    <row r="12" spans="1:3" x14ac:dyDescent="0.25">
      <c r="A12" s="175" t="s">
        <v>74</v>
      </c>
      <c r="B12" t="s">
        <v>1156</v>
      </c>
    </row>
    <row r="13" spans="1:3" x14ac:dyDescent="0.25">
      <c r="A13" s="175" t="s">
        <v>1160</v>
      </c>
      <c r="B13" t="s">
        <v>1152</v>
      </c>
    </row>
    <row r="14" spans="1:3" x14ac:dyDescent="0.25">
      <c r="A14" s="175" t="s">
        <v>1161</v>
      </c>
      <c r="B14" t="s">
        <v>1153</v>
      </c>
    </row>
    <row r="15" spans="1:3" x14ac:dyDescent="0.25">
      <c r="A15" s="175" t="s">
        <v>1162</v>
      </c>
      <c r="B15" t="s">
        <v>1157</v>
      </c>
    </row>
    <row r="16" spans="1:3" x14ac:dyDescent="0.25">
      <c r="A16" s="175" t="s">
        <v>1163</v>
      </c>
      <c r="B16" t="s">
        <v>1158</v>
      </c>
    </row>
    <row r="17" spans="1:2" x14ac:dyDescent="0.25">
      <c r="A17" s="175" t="s">
        <v>331</v>
      </c>
      <c r="B17" t="s">
        <v>1154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2001</vt:lpstr>
      <vt:lpstr>2002</vt:lpstr>
      <vt:lpstr>2003</vt:lpstr>
      <vt:lpstr>2004</vt:lpstr>
      <vt:lpstr>2005</vt:lpstr>
      <vt:lpstr>2006</vt:lpstr>
      <vt:lpstr>2007</vt:lpstr>
      <vt:lpstr>2008</vt:lpstr>
      <vt:lpstr>2009</vt:lpstr>
      <vt:lpstr>2010</vt:lpstr>
      <vt:lpstr>2011</vt:lpstr>
      <vt:lpstr>2012</vt:lpstr>
      <vt:lpstr>2013</vt:lpstr>
      <vt:lpstr>2014</vt:lpstr>
      <vt:lpstr>2015</vt:lpstr>
      <vt:lpstr>2016</vt:lpstr>
      <vt:lpstr>2017</vt:lpstr>
      <vt:lpstr>2018</vt:lpstr>
      <vt:lpstr>2019</vt:lpstr>
      <vt:lpstr>2020</vt:lpstr>
      <vt:lpstr>2021</vt:lpstr>
      <vt:lpstr>2022</vt:lpstr>
      <vt:lpstr>2023</vt:lpstr>
      <vt:lpstr>2024</vt:lpstr>
      <vt:lpstr>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Moreno, Gabriella N</dc:creator>
  <cp:lastModifiedBy>Moreno, Gabriella N</cp:lastModifiedBy>
  <dcterms:created xsi:type="dcterms:W3CDTF">2025-02-07T18:01:39Z</dcterms:created>
  <dcterms:modified xsi:type="dcterms:W3CDTF">2025-02-26T22:13:47Z</dcterms:modified>
</cp:coreProperties>
</file>